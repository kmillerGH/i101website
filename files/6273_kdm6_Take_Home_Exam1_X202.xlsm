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0" windowWidth="24915" windowHeight="12075"/>
  </bookViews>
  <sheets>
    <sheet name="Model" sheetId="2" r:id="rId1"/>
    <sheet name="Links and calculations" sheetId="3" r:id="rId2"/>
    <sheet name="DecisionFlow" sheetId="4" r:id="rId3"/>
    <sheet name="Data and Tables" sheetId="1" r:id="rId4"/>
  </sheets>
  <definedNames>
    <definedName name="Barrel">DecisionFlow!$J$14:$J$15</definedName>
    <definedName name="Barrel_list">DecisionFlow!$J$14:$J$15</definedName>
    <definedName name="Bloomington">DecisionFlow!$I$29</definedName>
    <definedName name="Both">DecisionFlow!$Q$4:$Q$5</definedName>
    <definedName name="East">DecisionFlow!$I$32</definedName>
    <definedName name="Electricity">DecisionFlow!$M$21:$M$24</definedName>
    <definedName name="Flat">DecisionFlow!$G$14:$G$17</definedName>
    <definedName name="Flat_list">DecisionFlow!$G$14:$G$17</definedName>
    <definedName name="Foundations">DecisionFlow!$B$4:$B$8</definedName>
    <definedName name="Gable__A_frame" localSheetId="2">DecisionFlow!$E$14:$E$18</definedName>
    <definedName name="Gable__A_frame__list">DecisionFlow!$E$14:$E$18</definedName>
    <definedName name="Gable_list">DecisionFlow!$E$14:$E$18</definedName>
    <definedName name="Gambrel">DecisionFlow!$I$14:$I$16</definedName>
    <definedName name="Gambrel_list">DecisionFlow!$I$14:$I$16</definedName>
    <definedName name="Heat">DecisionFlow!$B$21:$B$25</definedName>
    <definedName name="Hip">DecisionFlow!$F$14:$F$18</definedName>
    <definedName name="Hip_list">DecisionFlow!$F$14:$F$18</definedName>
    <definedName name="Insulation_Options">DecisionFlow!$H$21:$H$22</definedName>
    <definedName name="InsulationList">INDIRECT(DecisionFlow!$P$2)</definedName>
    <definedName name="Labor">DecisionFlow!$B$29:$B$33</definedName>
    <definedName name="Location">DecisionFlow!$H$29:$H$33</definedName>
    <definedName name="Multiplier">DecisionFlow!$I$29:$I$33</definedName>
    <definedName name="North">DecisionFlow!$I$30</definedName>
    <definedName name="NotSP">DecisionFlow!$U$4:$U$14</definedName>
    <definedName name="Roof_design">DecisionFlow!$M$4:$M$10</definedName>
    <definedName name="RoofMaterialList">INDIRECT(DecisionFlow!$E$12)</definedName>
    <definedName name="Shed">DecisionFlow!$H$14:$H$17</definedName>
    <definedName name="Shed_list">DecisionFlow!$H$14:$H$17</definedName>
    <definedName name="SolarPanels">DecisionFlow!$T$4:$T$13</definedName>
    <definedName name="South">DecisionFlow!$I$33</definedName>
    <definedName name="SpList">INDIRECT(DecisionFlow!$T$2)</definedName>
    <definedName name="Standard">DecisionFlow!$P$4</definedName>
    <definedName name="Vaulted">DecisionFlow!$K$14:$K$17</definedName>
    <definedName name="Vaulted_list">DecisionFlow!$K$14:$K$17</definedName>
    <definedName name="Walls">DecisionFlow!$H$4:$H$6</definedName>
    <definedName name="Water">DecisionFlow!$P$13:$P$15</definedName>
    <definedName name="WaterGWS">DecisionFlow!$Q$13</definedName>
    <definedName name="WaterSourceList">INDIRECT(DecisionFlow!$P$11)</definedName>
    <definedName name="West">DecisionFlow!$I$31</definedName>
  </definedNames>
  <calcPr calcId="145621"/>
</workbook>
</file>

<file path=xl/calcChain.xml><?xml version="1.0" encoding="utf-8"?>
<calcChain xmlns="http://schemas.openxmlformats.org/spreadsheetml/2006/main">
  <c r="H2" i="2" l="1"/>
  <c r="F29" i="3" l="1"/>
  <c r="F26" i="3"/>
  <c r="F24" i="3"/>
  <c r="F23" i="3"/>
  <c r="F12" i="3"/>
  <c r="T2" i="4"/>
  <c r="G22" i="3" s="1"/>
  <c r="F20" i="3"/>
  <c r="G20" i="3" s="1"/>
  <c r="P2" i="4"/>
  <c r="K22" i="3" l="1"/>
  <c r="F11" i="3"/>
  <c r="H11" i="3" s="1"/>
  <c r="E12" i="4" l="1"/>
  <c r="H21" i="3" l="1"/>
  <c r="G21" i="3"/>
  <c r="F21" i="3"/>
  <c r="H17" i="3"/>
  <c r="H16" i="3"/>
  <c r="H15" i="3"/>
  <c r="H14" i="3"/>
  <c r="G18" i="3"/>
  <c r="F15" i="3"/>
  <c r="F16" i="3"/>
  <c r="F17" i="3"/>
  <c r="F18" i="3"/>
  <c r="F14" i="3"/>
  <c r="F13" i="3"/>
  <c r="H13" i="3" s="1"/>
  <c r="P11" i="4" l="1"/>
  <c r="G10" i="3"/>
  <c r="F10" i="3"/>
  <c r="G9" i="3"/>
  <c r="F9" i="3"/>
  <c r="F8" i="3"/>
  <c r="G8" i="3" s="1"/>
  <c r="F4" i="3"/>
  <c r="G4" i="3" s="1"/>
  <c r="I23" i="3" l="1"/>
  <c r="I25" i="3"/>
  <c r="I27" i="3"/>
  <c r="J26" i="3"/>
  <c r="J24" i="3"/>
  <c r="I24" i="3"/>
  <c r="I26" i="3"/>
  <c r="J27" i="3"/>
  <c r="J25" i="3"/>
  <c r="J23" i="3"/>
  <c r="I22" i="3"/>
  <c r="J20" i="3"/>
  <c r="J22" i="3"/>
  <c r="L22" i="3" s="1"/>
  <c r="H25" i="2" s="1"/>
  <c r="I20" i="3"/>
  <c r="J21" i="3"/>
  <c r="I21" i="3"/>
  <c r="J8" i="3"/>
  <c r="J15" i="3"/>
  <c r="J17" i="3"/>
  <c r="I14" i="3"/>
  <c r="I16" i="3"/>
  <c r="I18" i="3"/>
  <c r="J13" i="3"/>
  <c r="J12" i="3"/>
  <c r="I12" i="3"/>
  <c r="J16" i="3"/>
  <c r="J18" i="3"/>
  <c r="I15" i="3"/>
  <c r="I17" i="3"/>
  <c r="I13" i="3"/>
  <c r="J11" i="3"/>
  <c r="I11" i="3"/>
  <c r="J14" i="3"/>
  <c r="I8" i="3"/>
  <c r="I10" i="3"/>
  <c r="J9" i="3"/>
  <c r="J10" i="3"/>
  <c r="I9" i="3"/>
  <c r="L12" i="3" l="1"/>
  <c r="H12" i="2" s="1"/>
  <c r="F5" i="3"/>
  <c r="G5" i="3" s="1"/>
  <c r="K27" i="3" l="1"/>
  <c r="L27" i="3" s="1"/>
  <c r="K15" i="3"/>
  <c r="L15" i="3" s="1"/>
  <c r="K14" i="3"/>
  <c r="L14" i="3" s="1"/>
  <c r="K20" i="3"/>
  <c r="L20" i="3" s="1"/>
  <c r="H21" i="2" s="1"/>
  <c r="K17" i="3"/>
  <c r="L17" i="3" s="1"/>
  <c r="K25" i="3"/>
  <c r="L25" i="3" s="1"/>
  <c r="K13" i="3"/>
  <c r="L13" i="3" s="1"/>
  <c r="H16" i="2" s="1"/>
  <c r="K18" i="3"/>
  <c r="L18" i="3" s="1"/>
  <c r="K12" i="3"/>
  <c r="K26" i="3"/>
  <c r="L26" i="3" s="1"/>
  <c r="K9" i="3"/>
  <c r="L9" i="3" s="1"/>
  <c r="H6" i="2" s="1"/>
  <c r="K21" i="3"/>
  <c r="L21" i="3" s="1"/>
  <c r="H23" i="2" s="1"/>
  <c r="K8" i="3"/>
  <c r="L8" i="3" s="1"/>
  <c r="H4" i="2" s="1"/>
  <c r="K23" i="3"/>
  <c r="L23" i="3" s="1"/>
  <c r="K10" i="3"/>
  <c r="L10" i="3" s="1"/>
  <c r="H8" i="2" s="1"/>
  <c r="K16" i="3"/>
  <c r="L16" i="3" s="1"/>
  <c r="K24" i="3"/>
  <c r="L24" i="3" s="1"/>
  <c r="K11" i="3"/>
  <c r="L11" i="3" s="1"/>
  <c r="H10" i="2" s="1"/>
  <c r="L19" i="3" l="1"/>
  <c r="H18" i="2" s="1"/>
  <c r="L28" i="3"/>
  <c r="H27" i="2" s="1"/>
  <c r="K21" i="2" l="1"/>
</calcChain>
</file>

<file path=xl/sharedStrings.xml><?xml version="1.0" encoding="utf-8"?>
<sst xmlns="http://schemas.openxmlformats.org/spreadsheetml/2006/main" count="315" uniqueCount="140">
  <si>
    <t>Fall13</t>
  </si>
  <si>
    <t>$/sq. foot of house</t>
  </si>
  <si>
    <t>Foundations</t>
  </si>
  <si>
    <t>(may only select one)</t>
  </si>
  <si>
    <t>Piers</t>
  </si>
  <si>
    <t>Slab</t>
  </si>
  <si>
    <t>Crawlspace</t>
  </si>
  <si>
    <t>Basement</t>
  </si>
  <si>
    <t>Earth Berm</t>
  </si>
  <si>
    <t>Walls</t>
  </si>
  <si>
    <t>Loadbearing (2x4 framed walls)</t>
  </si>
  <si>
    <t>Loadbearing (2x6 framed walls)</t>
  </si>
  <si>
    <t>Post &amp; beam</t>
  </si>
  <si>
    <t>Roof design</t>
  </si>
  <si>
    <t>Gable (A frame)</t>
  </si>
  <si>
    <t>Hip</t>
  </si>
  <si>
    <t>Flat</t>
  </si>
  <si>
    <t>Shed</t>
  </si>
  <si>
    <t>Gambrel</t>
  </si>
  <si>
    <t>Barrel</t>
  </si>
  <si>
    <t>Vaulted</t>
  </si>
  <si>
    <t xml:space="preserve">X=available, 0=not available in the design of roof selected </t>
  </si>
  <si>
    <t>Cost (fixed)</t>
  </si>
  <si>
    <t>Gable</t>
  </si>
  <si>
    <t>Roofing Material</t>
  </si>
  <si>
    <t>Thatch</t>
  </si>
  <si>
    <t>X</t>
  </si>
  <si>
    <t>Metal</t>
  </si>
  <si>
    <t>x</t>
  </si>
  <si>
    <t>Slate</t>
  </si>
  <si>
    <t>Asphalt shingles</t>
  </si>
  <si>
    <t>Cedar shakes</t>
  </si>
  <si>
    <t>Water</t>
  </si>
  <si>
    <t>City</t>
  </si>
  <si>
    <t>Well</t>
  </si>
  <si>
    <t>Cistern</t>
  </si>
  <si>
    <t>$1223 (must be purchased if getting gray water system.)</t>
  </si>
  <si>
    <t>Heat (may select more than one)</t>
  </si>
  <si>
    <t>Costs</t>
  </si>
  <si>
    <t>Woodstove</t>
  </si>
  <si>
    <t>Wood furnace</t>
  </si>
  <si>
    <t>Geothermal</t>
  </si>
  <si>
    <t>Propane</t>
  </si>
  <si>
    <t>Insulation Options</t>
  </si>
  <si>
    <t>Standard (R11 Walls, R19 Ceiling)</t>
  </si>
  <si>
    <t>$8/Sq FT</t>
  </si>
  <si>
    <t>Polar (R25 Walls, R40 Ceiling)</t>
  </si>
  <si>
    <t>$17/Sq FT; this option can only be done with either Post and Beam or 2x6 Framed Wall Construction!</t>
  </si>
  <si>
    <t>Electricity</t>
  </si>
  <si>
    <t xml:space="preserve">Cost (may select more than one) </t>
  </si>
  <si>
    <t>Solar</t>
  </si>
  <si>
    <t>$2500 fixed costs</t>
  </si>
  <si>
    <t>Wind generated</t>
  </si>
  <si>
    <t>$10000 fixed plus $20 per square foot</t>
  </si>
  <si>
    <t>Human powered</t>
  </si>
  <si>
    <t>$2000 fixed costs</t>
  </si>
  <si>
    <t>Grid (Purchased)</t>
  </si>
  <si>
    <t>$1800 fixed costs</t>
  </si>
  <si>
    <t>Option</t>
  </si>
  <si>
    <t>Description</t>
  </si>
  <si>
    <t xml:space="preserve">Gray water system </t>
  </si>
  <si>
    <t>Any water that has been used in the home, except water from toilets, is called grey water. Dish, shower, sink, and laundry water comprise 50-80% of residential "waste" water. This may be reused for other purposes, especially landscape irrigation.</t>
  </si>
  <si>
    <t>Solar panels</t>
  </si>
  <si>
    <t xml:space="preserve">********Solar (photovoltaic) panels convert energy in the form of light from the sun into electrical energy. Maximum of 10 can be ordered. This must automatically be chosen if Solar Electricity is chosen as an option, with a 1 panel minimum. </t>
  </si>
  <si>
    <t xml:space="preserve">$1000 per panel </t>
  </si>
  <si>
    <t>Labor</t>
  </si>
  <si>
    <t>Cost per square foot</t>
  </si>
  <si>
    <t>Contractor*</t>
  </si>
  <si>
    <t>Construction project manager</t>
  </si>
  <si>
    <t xml:space="preserve">Carpenters* </t>
  </si>
  <si>
    <t>Constructs the framework</t>
  </si>
  <si>
    <t>Electrician</t>
  </si>
  <si>
    <t>Places all electrical wiring (light switches, electrical outlets)</t>
  </si>
  <si>
    <t>Roofing*</t>
  </si>
  <si>
    <t>Plumber</t>
  </si>
  <si>
    <t>Radiant Flooring</t>
  </si>
  <si>
    <t>$9/sq ft</t>
  </si>
  <si>
    <t>&gt;</t>
  </si>
  <si>
    <t>Variable Cost</t>
  </si>
  <si>
    <t>Gray Water System</t>
  </si>
  <si>
    <t>This option can only be done with either Post and Beam or 2x6 Framed Wall Construction!</t>
  </si>
  <si>
    <t>Fixed Cost</t>
  </si>
  <si>
    <t>Roofing</t>
  </si>
  <si>
    <t>Carpenters</t>
  </si>
  <si>
    <t>Contractor</t>
  </si>
  <si>
    <t>Chosen</t>
  </si>
  <si>
    <t>Location</t>
  </si>
  <si>
    <t>Multiplier</t>
  </si>
  <si>
    <t>North</t>
  </si>
  <si>
    <t>East</t>
  </si>
  <si>
    <t>South</t>
  </si>
  <si>
    <t>West</t>
  </si>
  <si>
    <t>Century Home Creator</t>
  </si>
  <si>
    <t>Foundation</t>
  </si>
  <si>
    <t>Heat</t>
  </si>
  <si>
    <t>Translation</t>
  </si>
  <si>
    <t>Square Feet</t>
  </si>
  <si>
    <t>Price</t>
  </si>
  <si>
    <t>Sq ft</t>
  </si>
  <si>
    <t>VC X Sq Ft</t>
  </si>
  <si>
    <t>FC</t>
  </si>
  <si>
    <t>TC</t>
  </si>
  <si>
    <t>VC</t>
  </si>
  <si>
    <t>VC x Multiplier</t>
  </si>
  <si>
    <t>FC x Multipler</t>
  </si>
  <si>
    <t>Rood Design</t>
  </si>
  <si>
    <t>Roof Design</t>
  </si>
  <si>
    <t>Roof Material</t>
  </si>
  <si>
    <t>Link</t>
  </si>
  <si>
    <t>Water Source</t>
  </si>
  <si>
    <t>Heat Source(s)</t>
  </si>
  <si>
    <t>Wood Furnace</t>
  </si>
  <si>
    <t>Insulation</t>
  </si>
  <si>
    <t>Electricity Source</t>
  </si>
  <si>
    <t>Electricty Source</t>
  </si>
  <si>
    <t>Hip_list</t>
  </si>
  <si>
    <t>Flat_list</t>
  </si>
  <si>
    <t>Shed_list</t>
  </si>
  <si>
    <t>Gambrel_list</t>
  </si>
  <si>
    <t>Barrel_list</t>
  </si>
  <si>
    <t>Vaulted_list</t>
  </si>
  <si>
    <t>Gable_list</t>
  </si>
  <si>
    <t>WaterGWS</t>
  </si>
  <si>
    <t>Standard</t>
  </si>
  <si>
    <t>Both</t>
  </si>
  <si>
    <t>Solar Panels</t>
  </si>
  <si>
    <t>SolarPanels</t>
  </si>
  <si>
    <t>NotSP</t>
  </si>
  <si>
    <t>Labor Options</t>
  </si>
  <si>
    <t>Yes</t>
  </si>
  <si>
    <t>Midwest</t>
  </si>
  <si>
    <t>Green Home Option</t>
  </si>
  <si>
    <t>Century construction is currently running a "Green" home special. This house will come with selected options that are environmentally friendly. Home Owners who choose this option will receive a 25% discount off the original price.</t>
  </si>
  <si>
    <t>*Selecting this option will erase all prior selections</t>
  </si>
  <si>
    <t>Total Price</t>
  </si>
  <si>
    <t>Default Link</t>
  </si>
  <si>
    <t>Green Home Link</t>
  </si>
  <si>
    <t>LAST SAVED</t>
  </si>
  <si>
    <t>Please save before clicking</t>
  </si>
  <si>
    <t>Would You Like To Hire: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</si>
</sst>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8" formatCode="&quot;$&quot;#,##0.00_);[Red]\(&quot;$&quot;#,##0.00\)"/>
    <numFmt numFmtId="164" formatCode="&quot;$&quot;#,##0.00"/>
    <numFmt numFmtId="165" formatCode="&quot;$&quot;#,##0"/>
  </numFmts>
  <fonts count="18" x14ac:knownFonts="1">
    <font>
      <sz val="11"/>
      <color theme="1"/>
      <name val="Calibri"/>
      <family val="2"/>
      <scheme val="minor"/>
    </font>
    <font>
      <sz val="11"/>
      <color theme="0"/>
      <name val="Calibri"/>
      <family val="2"/>
      <scheme val="minor"/>
    </font>
    <font>
      <b/>
      <sz val="11"/>
      <color theme="1"/>
      <name val="Calibri"/>
      <family val="2"/>
      <scheme val="minor"/>
    </font>
    <font>
      <i/>
      <sz val="11"/>
      <color theme="1"/>
      <name val="Calibri"/>
      <family val="2"/>
      <scheme val="minor"/>
    </font>
    <font>
      <sz val="11"/>
      <color theme="1"/>
      <name val="Segoe UI Semilight"/>
      <family val="2"/>
    </font>
    <font>
      <sz val="11"/>
      <color theme="0"/>
      <name val="Segoe UI Semilight"/>
      <family val="2"/>
    </font>
    <font>
      <b/>
      <sz val="48"/>
      <color theme="0"/>
      <name val="Segoe UI Semilight"/>
      <family val="2"/>
    </font>
    <font>
      <sz val="16"/>
      <color theme="0"/>
      <name val="Segoe UI Semilight"/>
      <family val="2"/>
    </font>
    <font>
      <sz val="16"/>
      <name val="Segoe UI Semilight"/>
      <family val="2"/>
    </font>
    <font>
      <sz val="14"/>
      <color theme="1"/>
      <name val="Segoe UI Semilight"/>
      <family val="2"/>
    </font>
    <font>
      <sz val="14"/>
      <color theme="0"/>
      <name val="Segoe UI Semilight"/>
      <family val="2"/>
    </font>
    <font>
      <sz val="8"/>
      <color rgb="FF000000"/>
      <name val="Tahoma"/>
      <family val="2"/>
    </font>
    <font>
      <sz val="14"/>
      <name val="Segoe UI Semilight"/>
      <family val="2"/>
    </font>
    <font>
      <sz val="12"/>
      <color theme="0"/>
      <name val="Segoe UI Semilight"/>
      <family val="2"/>
    </font>
    <font>
      <b/>
      <sz val="16"/>
      <color theme="0"/>
      <name val="Segoe UI Semilight"/>
      <family val="2"/>
    </font>
    <font>
      <i/>
      <sz val="11"/>
      <color theme="1"/>
      <name val="Segoe UI Semilight"/>
      <family val="2"/>
    </font>
    <font>
      <b/>
      <sz val="16"/>
      <name val="Segoe UI Semilight"/>
      <family val="2"/>
    </font>
    <font>
      <sz val="11"/>
      <color rgb="FF000000"/>
      <name val="Calibri"/>
      <family val="2"/>
    </font>
  </fonts>
  <fills count="5">
    <fill>
      <patternFill patternType="none"/>
    </fill>
    <fill>
      <patternFill patternType="gray125"/>
    </fill>
    <fill>
      <patternFill patternType="solid">
        <fgColor theme="0"/>
        <bgColor indexed="64"/>
      </patternFill>
    </fill>
    <fill>
      <patternFill patternType="solid">
        <fgColor theme="3" tint="0.39997558519241921"/>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49">
    <xf numFmtId="0" fontId="0" fillId="0" borderId="0" xfId="0"/>
    <xf numFmtId="0" fontId="1" fillId="0" borderId="0" xfId="0" applyFont="1"/>
    <xf numFmtId="8" fontId="0" fillId="0" borderId="0" xfId="0" applyNumberFormat="1"/>
    <xf numFmtId="6" fontId="0" fillId="0" borderId="0" xfId="0" applyNumberFormat="1"/>
    <xf numFmtId="0" fontId="0" fillId="0" borderId="0" xfId="0" applyAlignment="1">
      <alignment wrapText="1"/>
    </xf>
    <xf numFmtId="6" fontId="0" fillId="0" borderId="0" xfId="0" applyNumberFormat="1" applyAlignment="1">
      <alignment wrapText="1"/>
    </xf>
    <xf numFmtId="0" fontId="0" fillId="0" borderId="0" xfId="0" applyAlignment="1"/>
    <xf numFmtId="6" fontId="0" fillId="0" borderId="0" xfId="0" applyNumberFormat="1" applyAlignment="1"/>
    <xf numFmtId="0" fontId="0" fillId="0" borderId="0" xfId="0" applyAlignment="1">
      <alignment horizontal="center" vertical="center" wrapText="1"/>
    </xf>
    <xf numFmtId="6" fontId="0" fillId="0" borderId="0" xfId="0" applyNumberFormat="1" applyAlignment="1">
      <alignment horizontal="center" vertical="center" wrapText="1"/>
    </xf>
    <xf numFmtId="8" fontId="0" fillId="0" borderId="0" xfId="0" applyNumberFormat="1" applyAlignment="1">
      <alignment wrapText="1"/>
    </xf>
    <xf numFmtId="0" fontId="2" fillId="0" borderId="0" xfId="0" applyFont="1" applyAlignment="1">
      <alignment wrapText="1"/>
    </xf>
    <xf numFmtId="0" fontId="2" fillId="0" borderId="0" xfId="0" applyFont="1" applyAlignment="1">
      <alignment horizontal="center" wrapText="1"/>
    </xf>
    <xf numFmtId="0" fontId="2" fillId="0" borderId="0" xfId="0" applyFont="1" applyAlignment="1"/>
    <xf numFmtId="0" fontId="2" fillId="0" borderId="0" xfId="0" applyFont="1"/>
    <xf numFmtId="0" fontId="2" fillId="0" borderId="0" xfId="0" applyFont="1" applyAlignment="1">
      <alignment horizontal="center" vertical="center" wrapText="1"/>
    </xf>
    <xf numFmtId="0" fontId="0" fillId="0" borderId="0" xfId="0" applyFont="1"/>
    <xf numFmtId="0" fontId="3" fillId="0" borderId="0" xfId="0" applyFont="1"/>
    <xf numFmtId="0" fontId="2" fillId="0" borderId="0" xfId="0" applyFont="1" applyAlignment="1">
      <alignment horizontal="center"/>
    </xf>
    <xf numFmtId="165" fontId="0" fillId="0" borderId="0" xfId="0" applyNumberFormat="1" applyAlignment="1">
      <alignment wrapText="1"/>
    </xf>
    <xf numFmtId="164" fontId="0" fillId="0" borderId="0" xfId="0" applyNumberFormat="1"/>
    <xf numFmtId="165" fontId="0" fillId="0" borderId="0" xfId="0" applyNumberFormat="1"/>
    <xf numFmtId="8" fontId="0" fillId="0" borderId="0" xfId="0" applyNumberFormat="1" applyAlignment="1"/>
    <xf numFmtId="0" fontId="4" fillId="3" borderId="0" xfId="0" applyFont="1" applyFill="1"/>
    <xf numFmtId="0" fontId="7" fillId="3" borderId="0" xfId="0" applyFont="1" applyFill="1"/>
    <xf numFmtId="0" fontId="8" fillId="2" borderId="0" xfId="0" applyFont="1" applyFill="1" applyAlignment="1">
      <alignment horizontal="center"/>
    </xf>
    <xf numFmtId="0" fontId="10" fillId="3" borderId="0" xfId="0" applyFont="1" applyFill="1" applyAlignment="1">
      <alignment horizontal="right"/>
    </xf>
    <xf numFmtId="0" fontId="5" fillId="3" borderId="0" xfId="0" applyFont="1" applyFill="1"/>
    <xf numFmtId="164" fontId="9" fillId="2" borderId="0" xfId="0" applyNumberFormat="1" applyFont="1" applyFill="1"/>
    <xf numFmtId="0" fontId="0" fillId="0" borderId="0" xfId="0" applyFont="1" applyAlignment="1"/>
    <xf numFmtId="164" fontId="12" fillId="2" borderId="0" xfId="0" applyNumberFormat="1" applyFont="1" applyFill="1"/>
    <xf numFmtId="0" fontId="0" fillId="3" borderId="0" xfId="0" applyFill="1"/>
    <xf numFmtId="0" fontId="2" fillId="3" borderId="0" xfId="0" applyFont="1" applyFill="1" applyAlignment="1"/>
    <xf numFmtId="0" fontId="0" fillId="3" borderId="0" xfId="0" applyFont="1" applyFill="1" applyAlignment="1"/>
    <xf numFmtId="0" fontId="0" fillId="0" borderId="0" xfId="0" applyFill="1"/>
    <xf numFmtId="0" fontId="4" fillId="4" borderId="0" xfId="0" applyFont="1" applyFill="1"/>
    <xf numFmtId="0" fontId="0" fillId="4" borderId="0" xfId="0" applyFill="1"/>
    <xf numFmtId="0" fontId="7" fillId="3" borderId="0" xfId="0" applyFont="1" applyFill="1" applyAlignment="1">
      <alignment horizontal="right"/>
    </xf>
    <xf numFmtId="0" fontId="16" fillId="3" borderId="0" xfId="0" applyFont="1" applyFill="1" applyAlignment="1"/>
    <xf numFmtId="0" fontId="10" fillId="3" borderId="0" xfId="0" applyFont="1" applyFill="1" applyAlignment="1">
      <alignment horizontal="center" vertical="center" wrapText="1"/>
    </xf>
    <xf numFmtId="0" fontId="4" fillId="4" borderId="0" xfId="0" applyFont="1" applyFill="1" applyAlignment="1">
      <alignment horizontal="center"/>
    </xf>
    <xf numFmtId="0" fontId="15" fillId="4" borderId="0" xfId="0" applyFont="1" applyFill="1" applyAlignment="1">
      <alignment horizontal="center"/>
    </xf>
    <xf numFmtId="0" fontId="14" fillId="3" borderId="0" xfId="0" applyFont="1" applyFill="1" applyAlignment="1">
      <alignment horizontal="center"/>
    </xf>
    <xf numFmtId="164" fontId="8" fillId="2" borderId="0" xfId="0" applyNumberFormat="1" applyFont="1" applyFill="1" applyAlignment="1">
      <alignment horizontal="center"/>
    </xf>
    <xf numFmtId="0" fontId="4" fillId="3" borderId="0" xfId="0" applyFont="1" applyFill="1" applyAlignment="1">
      <alignment horizontal="center"/>
    </xf>
    <xf numFmtId="0" fontId="6" fillId="3" borderId="0" xfId="0" applyFont="1" applyFill="1" applyAlignment="1">
      <alignment horizontal="center"/>
    </xf>
    <xf numFmtId="0" fontId="14" fillId="4" borderId="0" xfId="0" applyFont="1" applyFill="1" applyAlignment="1">
      <alignment horizontal="center"/>
    </xf>
    <xf numFmtId="0" fontId="13" fillId="4" borderId="0" xfId="0" applyFont="1" applyFill="1" applyAlignment="1">
      <alignment horizontal="center" vertical="center"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Links and calculations'!$E$4" fmlaRange="Location" noThreeD="1" val="0"/>
</file>

<file path=xl/ctrlProps/ctrlProp2.xml><?xml version="1.0" encoding="utf-8"?>
<formControlPr xmlns="http://schemas.microsoft.com/office/spreadsheetml/2009/9/main" objectType="Spin" dx="16" fmlaLink="'Links and calculations'!$E$5" inc="100" max="4500" min="1200" page="10" val="1200"/>
</file>

<file path=xl/ctrlProps/ctrlProp3.xml><?xml version="1.0" encoding="utf-8"?>
<formControlPr xmlns="http://schemas.microsoft.com/office/spreadsheetml/2009/9/main" objectType="Drop" dropStyle="combo" dx="16" fmlaLink="'Links and calculations'!$E$8" fmlaRange="Foundations" noThreeD="1" val="0"/>
</file>

<file path=xl/ctrlProps/ctrlProp4.xml><?xml version="1.0" encoding="utf-8"?>
<formControlPr xmlns="http://schemas.microsoft.com/office/spreadsheetml/2009/9/main" objectType="Drop" dropStyle="combo" dx="16" fmlaLink="'Links and calculations'!$E$10" fmlaRange="DecisionFlow!$M$4:$M$10" noThreeD="1" val="0"/>
</file>

<file path=xl/ctrlProps/ctrlProp5.xml><?xml version="1.0" encoding="utf-8"?>
<formControlPr xmlns="http://schemas.microsoft.com/office/spreadsheetml/2009/9/main" objectType="CheckBox" fmlaLink="'Links and calculations'!$E$12" lockText="1" noThreeD="1"/>
</file>

<file path=xl/ctrlProps/ctrlProp6.xml><?xml version="1.0" encoding="utf-8"?>
<formControlPr xmlns="http://schemas.microsoft.com/office/spreadsheetml/2009/9/main" objectType="Drop" dropStyle="combo" dx="16" fmlaLink="'Links and calculations'!$E$13" fmlaRange="WaterSourceList" noThreeD="1" val="0"/>
</file>

<file path=xl/ctrlProps/ctrlProp7.xml><?xml version="1.0" encoding="utf-8"?>
<formControlPr xmlns="http://schemas.microsoft.com/office/spreadsheetml/2009/9/main" objectType="CheckBox" fmlaLink="'Links and calculations'!$E$14" lockText="1" noThreeD="1"/>
</file>

<file path=xl/ctrlProps/ctrlProp8.xml><?xml version="1.0" encoding="utf-8"?>
<formControlPr xmlns="http://schemas.microsoft.com/office/spreadsheetml/2009/9/main" objectType="CheckBox" fmlaLink="'Links and calculations'!$E$15" lockText="1" noThreeD="1"/>
</file>

<file path=xl/ctrlProps/ctrlProp9.xml><?xml version="1.0" encoding="utf-8"?>
<formControlPr xmlns="http://schemas.microsoft.com/office/spreadsheetml/2009/9/main" objectType="CheckBox" fmlaLink="'Links and calculations'!$E$16" lockText="1" noThreeD="1"/>
</file>

<file path=xl/ctrlProps/ctrlProp10.xml><?xml version="1.0" encoding="utf-8"?>
<formControlPr xmlns="http://schemas.microsoft.com/office/spreadsheetml/2009/9/main" objectType="CheckBox" fmlaLink="'Links and calculations'!$E$17" lockText="1" noThreeD="1"/>
</file>

<file path=xl/ctrlProps/ctrlProp11.xml><?xml version="1.0" encoding="utf-8"?>
<formControlPr xmlns="http://schemas.microsoft.com/office/spreadsheetml/2009/9/main" objectType="CheckBox" fmlaLink="'Links and calculations'!$E$18" lockText="1" noThreeD="1"/>
</file>

<file path=xl/ctrlProps/ctrlProp12.xml><?xml version="1.0" encoding="utf-8"?>
<formControlPr xmlns="http://schemas.microsoft.com/office/spreadsheetml/2009/9/main" objectType="Drop" dropStyle="combo" dx="16" fmlaLink="'Links and calculations'!$E$20" fmlaRange="InsulationList" noThreeD="1" val="0"/>
</file>

<file path=xl/ctrlProps/ctrlProp13.xml><?xml version="1.0" encoding="utf-8"?>
<formControlPr xmlns="http://schemas.microsoft.com/office/spreadsheetml/2009/9/main" objectType="Drop" dropStyle="combo" dx="16" fmlaLink="'Links and calculations'!$E$21" fmlaRange="DecisionFlow!$M$21:$M$24" noThreeD="1" sel="4" val="0"/>
</file>

<file path=xl/ctrlProps/ctrlProp14.xml><?xml version="1.0" encoding="utf-8"?>
<formControlPr xmlns="http://schemas.microsoft.com/office/spreadsheetml/2009/9/main" objectType="Drop" dropStyle="combo" dx="16" fmlaLink="'Links and calculations'!$E$11" fmlaRange="RoofMaterialList" noThreeD="1" val="0"/>
</file>

<file path=xl/ctrlProps/ctrlProp15.xml><?xml version="1.0" encoding="utf-8"?>
<formControlPr xmlns="http://schemas.microsoft.com/office/spreadsheetml/2009/9/main" objectType="Drop" dropStyle="combo" dx="16" fmlaLink="'Links and calculations'!$E$9" fmlaRange="DecisionFlow!$H$4:$H$6" noThreeD="1" val="0"/>
</file>

<file path=xl/ctrlProps/ctrlProp16.xml><?xml version="1.0" encoding="utf-8"?>
<formControlPr xmlns="http://schemas.microsoft.com/office/spreadsheetml/2009/9/main" objectType="Drop" dropStyle="combo" dx="16" fmlaLink="'Links and calculations'!$E$22" fmlaRange="SpList" noThreeD="1" val="2"/>
</file>

<file path=xl/ctrlProps/ctrlProp17.xml><?xml version="1.0" encoding="utf-8"?>
<formControlPr xmlns="http://schemas.microsoft.com/office/spreadsheetml/2009/9/main" objectType="CheckBox" checked="Checked" fmlaLink="'Links and calculations'!$E$23" lockText="1" noThreeD="1"/>
</file>

<file path=xl/ctrlProps/ctrlProp18.xml><?xml version="1.0" encoding="utf-8"?>
<formControlPr xmlns="http://schemas.microsoft.com/office/spreadsheetml/2009/9/main" objectType="CheckBox" checked="Checked" fmlaLink="'Links and calculations'!$E$24" lockText="1" noThreeD="1"/>
</file>

<file path=xl/ctrlProps/ctrlProp19.xml><?xml version="1.0" encoding="utf-8"?>
<formControlPr xmlns="http://schemas.microsoft.com/office/spreadsheetml/2009/9/main" objectType="CheckBox" checked="Checked" fmlaLink="'Links and calculations'!$E$26"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fmlaLink="'Links and calculations'!$E$29"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1</xdr:row>
          <xdr:rowOff>9525</xdr:rowOff>
        </xdr:from>
        <xdr:to>
          <xdr:col>5</xdr:col>
          <xdr:colOff>685800</xdr:colOff>
          <xdr:row>1</xdr:row>
          <xdr:rowOff>314325</xdr:rowOff>
        </xdr:to>
        <xdr:sp macro="" textlink="">
          <xdr:nvSpPr>
            <xdr:cNvPr id="2050" name="Drop Down 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1</xdr:row>
          <xdr:rowOff>19050</xdr:rowOff>
        </xdr:from>
        <xdr:to>
          <xdr:col>8</xdr:col>
          <xdr:colOff>457200</xdr:colOff>
          <xdr:row>1</xdr:row>
          <xdr:rowOff>304800</xdr:rowOff>
        </xdr:to>
        <xdr:sp macro="" textlink="">
          <xdr:nvSpPr>
            <xdr:cNvPr id="2051" name="Spinner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3</xdr:row>
          <xdr:rowOff>9525</xdr:rowOff>
        </xdr:from>
        <xdr:to>
          <xdr:col>5</xdr:col>
          <xdr:colOff>704850</xdr:colOff>
          <xdr:row>3</xdr:row>
          <xdr:rowOff>257175</xdr:rowOff>
        </xdr:to>
        <xdr:sp macro="" textlink="">
          <xdr:nvSpPr>
            <xdr:cNvPr id="2052" name="Drop Down 4"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7</xdr:row>
          <xdr:rowOff>9525</xdr:rowOff>
        </xdr:from>
        <xdr:to>
          <xdr:col>5</xdr:col>
          <xdr:colOff>704850</xdr:colOff>
          <xdr:row>8</xdr:row>
          <xdr:rowOff>0</xdr:rowOff>
        </xdr:to>
        <xdr:sp macro="" textlink="">
          <xdr:nvSpPr>
            <xdr:cNvPr id="2055" name="Drop Down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11</xdr:row>
          <xdr:rowOff>9525</xdr:rowOff>
        </xdr:from>
        <xdr:to>
          <xdr:col>4</xdr:col>
          <xdr:colOff>266700</xdr:colOff>
          <xdr:row>11</xdr:row>
          <xdr:rowOff>228600</xdr:rowOff>
        </xdr:to>
        <xdr:sp macro="" textlink="">
          <xdr:nvSpPr>
            <xdr:cNvPr id="2062" name="Check Box 14" hidden="1">
              <a:extLst>
                <a:ext uri="{63B3BB69-23CF-44E3-9099-C40C66FF867C}">
                  <a14:compatExt spid="_x0000_s2062"/>
                </a:ext>
              </a:extLst>
            </xdr:cNvPr>
            <xdr:cNvSpPr/>
          </xdr:nvSpPr>
          <xdr:spPr>
            <a:xfrm>
              <a:off x="0" y="0"/>
              <a:ext cx="0" cy="0"/>
            </a:xfrm>
            <a:prstGeom prst="rect">
              <a:avLst/>
            </a:prstGeom>
          </xdr:spPr>
        </xdr:sp>
        <xdr:clientData/>
      </xdr:twoCellAnchor>
    </mc:Choice>
    <mc:Fallback/>
  </mc:AlternateContent>
  <xdr:twoCellAnchor>
    <xdr:from>
      <xdr:col>2</xdr:col>
      <xdr:colOff>28575</xdr:colOff>
      <xdr:row>12</xdr:row>
      <xdr:rowOff>9525</xdr:rowOff>
    </xdr:from>
    <xdr:to>
      <xdr:col>6</xdr:col>
      <xdr:colOff>657225</xdr:colOff>
      <xdr:row>14</xdr:row>
      <xdr:rowOff>66675</xdr:rowOff>
    </xdr:to>
    <xdr:sp macro="" textlink="">
      <xdr:nvSpPr>
        <xdr:cNvPr id="3" name="TextBox 2"/>
        <xdr:cNvSpPr txBox="1"/>
      </xdr:nvSpPr>
      <xdr:spPr>
        <a:xfrm>
          <a:off x="1600200" y="3609975"/>
          <a:ext cx="4410075" cy="476250"/>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i="1">
              <a:solidFill>
                <a:schemeClr val="bg1"/>
              </a:solidFill>
            </a:rPr>
            <a:t>*Any water that has been used in the home, except water from toilets, is called grey water. Dish, shower, sink, and laundry water comprise 50-80% of residential "waste" water. This may be reused for other purposes, especially landscape irrigation.</a:t>
          </a:r>
        </a:p>
      </xdr:txBody>
    </xdr:sp>
    <xdr:clientData/>
  </xdr:twoCellAnchor>
  <mc:AlternateContent xmlns:mc="http://schemas.openxmlformats.org/markup-compatibility/2006">
    <mc:Choice xmlns:a14="http://schemas.microsoft.com/office/drawing/2010/main" Requires="a14">
      <xdr:twoCellAnchor editAs="oneCell">
        <xdr:from>
          <xdr:col>3</xdr:col>
          <xdr:colOff>133350</xdr:colOff>
          <xdr:row>14</xdr:row>
          <xdr:rowOff>200025</xdr:rowOff>
        </xdr:from>
        <xdr:to>
          <xdr:col>5</xdr:col>
          <xdr:colOff>676275</xdr:colOff>
          <xdr:row>15</xdr:row>
          <xdr:rowOff>238125</xdr:rowOff>
        </xdr:to>
        <xdr:sp macro="" textlink="">
          <xdr:nvSpPr>
            <xdr:cNvPr id="2064" name="Drop Down 16"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17</xdr:row>
          <xdr:rowOff>19050</xdr:rowOff>
        </xdr:from>
        <xdr:to>
          <xdr:col>5</xdr:col>
          <xdr:colOff>133350</xdr:colOff>
          <xdr:row>17</xdr:row>
          <xdr:rowOff>200025</xdr:rowOff>
        </xdr:to>
        <xdr:sp macro="" textlink="">
          <xdr:nvSpPr>
            <xdr:cNvPr id="2067" name="Check Box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Woodstove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17</xdr:row>
          <xdr:rowOff>19050</xdr:rowOff>
        </xdr:from>
        <xdr:to>
          <xdr:col>5</xdr:col>
          <xdr:colOff>866775</xdr:colOff>
          <xdr:row>17</xdr:row>
          <xdr:rowOff>200025</xdr:rowOff>
        </xdr:to>
        <xdr:sp macro="" textlink="">
          <xdr:nvSpPr>
            <xdr:cNvPr id="2068" name="Check Box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Wood Furnace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17</xdr:row>
          <xdr:rowOff>209550</xdr:rowOff>
        </xdr:from>
        <xdr:to>
          <xdr:col>5</xdr:col>
          <xdr:colOff>133350</xdr:colOff>
          <xdr:row>18</xdr:row>
          <xdr:rowOff>133350</xdr:rowOff>
        </xdr:to>
        <xdr:sp macro="" textlink="">
          <xdr:nvSpPr>
            <xdr:cNvPr id="2069" name="Check Box 21" hidden="1">
              <a:extLst>
                <a:ext uri="{63B3BB69-23CF-44E3-9099-C40C66FF867C}">
                  <a14:compatExt spid="_x0000_s20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Geothermal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17</xdr:row>
          <xdr:rowOff>209550</xdr:rowOff>
        </xdr:from>
        <xdr:to>
          <xdr:col>5</xdr:col>
          <xdr:colOff>866775</xdr:colOff>
          <xdr:row>18</xdr:row>
          <xdr:rowOff>133350</xdr:rowOff>
        </xdr:to>
        <xdr:sp macro="" textlink="">
          <xdr:nvSpPr>
            <xdr:cNvPr id="2070" name="Check Box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123825</xdr:rowOff>
        </xdr:from>
        <xdr:to>
          <xdr:col>5</xdr:col>
          <xdr:colOff>438150</xdr:colOff>
          <xdr:row>19</xdr:row>
          <xdr:rowOff>85725</xdr:rowOff>
        </xdr:to>
        <xdr:sp macro="" textlink="">
          <xdr:nvSpPr>
            <xdr:cNvPr id="2071" name="Check Box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Radiant Flooring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20</xdr:row>
          <xdr:rowOff>0</xdr:rowOff>
        </xdr:from>
        <xdr:to>
          <xdr:col>5</xdr:col>
          <xdr:colOff>1285875</xdr:colOff>
          <xdr:row>20</xdr:row>
          <xdr:rowOff>247650</xdr:rowOff>
        </xdr:to>
        <xdr:sp macro="" textlink="">
          <xdr:nvSpPr>
            <xdr:cNvPr id="2073" name="Drop Down 25"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200025</xdr:rowOff>
        </xdr:from>
        <xdr:to>
          <xdr:col>5</xdr:col>
          <xdr:colOff>647700</xdr:colOff>
          <xdr:row>22</xdr:row>
          <xdr:rowOff>238125</xdr:rowOff>
        </xdr:to>
        <xdr:sp macro="" textlink="">
          <xdr:nvSpPr>
            <xdr:cNvPr id="2075" name="Drop Down 27" hidden="1">
              <a:extLst>
                <a:ext uri="{63B3BB69-23CF-44E3-9099-C40C66FF867C}">
                  <a14:compatExt spid="_x0000_s2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9</xdr:row>
          <xdr:rowOff>0</xdr:rowOff>
        </xdr:from>
        <xdr:to>
          <xdr:col>5</xdr:col>
          <xdr:colOff>704850</xdr:colOff>
          <xdr:row>9</xdr:row>
          <xdr:rowOff>247650</xdr:rowOff>
        </xdr:to>
        <xdr:sp macro="" textlink="">
          <xdr:nvSpPr>
            <xdr:cNvPr id="2076" name="Drop Down 28" hidden="1">
              <a:extLst>
                <a:ext uri="{63B3BB69-23CF-44E3-9099-C40C66FF867C}">
                  <a14:compatExt spid="_x0000_s2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5</xdr:row>
          <xdr:rowOff>9525</xdr:rowOff>
        </xdr:from>
        <xdr:to>
          <xdr:col>5</xdr:col>
          <xdr:colOff>1247775</xdr:colOff>
          <xdr:row>6</xdr:row>
          <xdr:rowOff>0</xdr:rowOff>
        </xdr:to>
        <xdr:sp macro="" textlink="">
          <xdr:nvSpPr>
            <xdr:cNvPr id="2077" name="Drop Down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24</xdr:row>
          <xdr:rowOff>19050</xdr:rowOff>
        </xdr:from>
        <xdr:to>
          <xdr:col>5</xdr:col>
          <xdr:colOff>638175</xdr:colOff>
          <xdr:row>25</xdr:row>
          <xdr:rowOff>9525</xdr:rowOff>
        </xdr:to>
        <xdr:sp macro="" textlink="">
          <xdr:nvSpPr>
            <xdr:cNvPr id="2080" name="Drop Down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26</xdr:row>
          <xdr:rowOff>57150</xdr:rowOff>
        </xdr:from>
        <xdr:to>
          <xdr:col>5</xdr:col>
          <xdr:colOff>66675</xdr:colOff>
          <xdr:row>27</xdr:row>
          <xdr:rowOff>28575</xdr:rowOff>
        </xdr:to>
        <xdr:sp macro="" textlink="">
          <xdr:nvSpPr>
            <xdr:cNvPr id="2082" name="Check Box 34" hidden="1">
              <a:extLst>
                <a:ext uri="{63B3BB69-23CF-44E3-9099-C40C66FF867C}">
                  <a14:compatExt spid="_x0000_s20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26</xdr:row>
          <xdr:rowOff>57150</xdr:rowOff>
        </xdr:from>
        <xdr:to>
          <xdr:col>5</xdr:col>
          <xdr:colOff>800100</xdr:colOff>
          <xdr:row>27</xdr:row>
          <xdr:rowOff>28575</xdr:rowOff>
        </xdr:to>
        <xdr:sp macro="" textlink="">
          <xdr:nvSpPr>
            <xdr:cNvPr id="2083" name="Check Box 35" hidden="1">
              <a:extLst>
                <a:ext uri="{63B3BB69-23CF-44E3-9099-C40C66FF867C}">
                  <a14:compatExt spid="_x0000_s20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Carpernters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27</xdr:row>
          <xdr:rowOff>0</xdr:rowOff>
        </xdr:from>
        <xdr:to>
          <xdr:col>5</xdr:col>
          <xdr:colOff>66675</xdr:colOff>
          <xdr:row>27</xdr:row>
          <xdr:rowOff>180975</xdr:rowOff>
        </xdr:to>
        <xdr:sp macro="" textlink="">
          <xdr:nvSpPr>
            <xdr:cNvPr id="2084" name="Check Box 36" hidden="1">
              <a:extLst>
                <a:ext uri="{63B3BB69-23CF-44E3-9099-C40C66FF867C}">
                  <a14:compatExt spid="_x0000_s20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Roofing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238125</xdr:colOff>
          <xdr:row>15</xdr:row>
          <xdr:rowOff>28575</xdr:rowOff>
        </xdr:from>
        <xdr:to>
          <xdr:col>14</xdr:col>
          <xdr:colOff>142875</xdr:colOff>
          <xdr:row>17</xdr:row>
          <xdr:rowOff>66675</xdr:rowOff>
        </xdr:to>
        <xdr:sp macro="" textlink="">
          <xdr:nvSpPr>
            <xdr:cNvPr id="2087" name="Button 39" hidden="1">
              <a:extLst>
                <a:ext uri="{63B3BB69-23CF-44E3-9099-C40C66FF867C}">
                  <a14:compatExt spid="_x0000_s20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Selection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10</xdr:row>
          <xdr:rowOff>85725</xdr:rowOff>
        </xdr:from>
        <xdr:to>
          <xdr:col>12</xdr:col>
          <xdr:colOff>180975</xdr:colOff>
          <xdr:row>12</xdr:row>
          <xdr:rowOff>76200</xdr:rowOff>
        </xdr:to>
        <xdr:sp macro="" textlink="">
          <xdr:nvSpPr>
            <xdr:cNvPr id="2088" name="Check Box 40" hidden="1">
              <a:extLst>
                <a:ext uri="{63B3BB69-23CF-44E3-9099-C40C66FF867C}">
                  <a14:compatExt spid="_x0000_s20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Green Home Option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15</xdr:row>
          <xdr:rowOff>28575</xdr:rowOff>
        </xdr:from>
        <xdr:to>
          <xdr:col>10</xdr:col>
          <xdr:colOff>381000</xdr:colOff>
          <xdr:row>17</xdr:row>
          <xdr:rowOff>66675</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Current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419100</xdr:colOff>
          <xdr:row>15</xdr:row>
          <xdr:rowOff>28575</xdr:rowOff>
        </xdr:from>
        <xdr:to>
          <xdr:col>12</xdr:col>
          <xdr:colOff>200025</xdr:colOff>
          <xdr:row>17</xdr:row>
          <xdr:rowOff>66675</xdr:rowOff>
        </xdr:to>
        <xdr:sp macro="" textlink="">
          <xdr:nvSpPr>
            <xdr:cNvPr id="2090" name="Button 42" hidden="1">
              <a:extLst>
                <a:ext uri="{63B3BB69-23CF-44E3-9099-C40C66FF867C}">
                  <a14:compatExt spid="_x0000_s20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Last Saved Selection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V201"/>
  <sheetViews>
    <sheetView tabSelected="1" topLeftCell="B1" workbookViewId="0">
      <selection activeCell="S8" sqref="S8"/>
    </sheetView>
  </sheetViews>
  <sheetFormatPr defaultRowHeight="15" x14ac:dyDescent="0.25"/>
  <cols>
    <col min="1" max="1" width="14.28515625" customWidth="1"/>
    <col min="2" max="2" width="9.28515625" customWidth="1"/>
    <col min="3" max="3" width="24" bestFit="1" customWidth="1"/>
    <col min="4" max="4" width="2.5703125" customWidth="1"/>
    <col min="5" max="5" width="7.5703125" customWidth="1"/>
    <col min="6" max="6" width="22.5703125" customWidth="1"/>
    <col min="7" max="7" width="17" bestFit="1" customWidth="1"/>
    <col min="8" max="8" width="15" bestFit="1" customWidth="1"/>
    <col min="10" max="10" width="8.5703125" customWidth="1"/>
    <col min="11" max="11" width="10.42578125" customWidth="1"/>
    <col min="12" max="12" width="9.7109375" customWidth="1"/>
    <col min="13" max="14" width="9.140625" customWidth="1"/>
  </cols>
  <sheetData>
    <row r="1" spans="2:20" ht="69" x14ac:dyDescent="1.1499999999999999">
      <c r="B1" s="45" t="s">
        <v>92</v>
      </c>
      <c r="C1" s="45"/>
      <c r="D1" s="45"/>
      <c r="E1" s="45"/>
      <c r="F1" s="45"/>
      <c r="G1" s="45"/>
      <c r="H1" s="45"/>
      <c r="I1" s="45"/>
      <c r="J1" s="45"/>
      <c r="K1" s="45"/>
      <c r="L1" s="45"/>
      <c r="M1" s="45"/>
      <c r="N1" s="45"/>
      <c r="O1" s="45"/>
    </row>
    <row r="2" spans="2:20" ht="25.5" x14ac:dyDescent="0.5">
      <c r="B2" s="23"/>
      <c r="C2" s="37" t="s">
        <v>86</v>
      </c>
      <c r="D2" s="23"/>
      <c r="E2" s="23"/>
      <c r="F2" s="23"/>
      <c r="G2" s="24" t="s">
        <v>96</v>
      </c>
      <c r="H2" s="25">
        <f>'Links and calculations'!E5</f>
        <v>1200</v>
      </c>
      <c r="I2" s="23"/>
      <c r="J2" s="23"/>
      <c r="K2" s="31"/>
      <c r="L2" s="31"/>
      <c r="M2" s="31"/>
      <c r="N2" s="31"/>
      <c r="O2" s="31"/>
    </row>
    <row r="3" spans="2:20" ht="16.5" x14ac:dyDescent="0.3">
      <c r="B3" s="23"/>
      <c r="C3" s="23"/>
      <c r="D3" s="23"/>
      <c r="E3" s="23"/>
      <c r="F3" s="23"/>
      <c r="G3" s="23"/>
      <c r="H3" s="23"/>
      <c r="I3" s="23"/>
      <c r="J3" s="23"/>
      <c r="K3" s="31"/>
      <c r="L3" s="31"/>
      <c r="M3" s="31"/>
      <c r="N3" s="31"/>
      <c r="O3" s="31"/>
    </row>
    <row r="4" spans="2:20" ht="25.5" x14ac:dyDescent="0.5">
      <c r="B4" s="27"/>
      <c r="C4" s="26" t="s">
        <v>93</v>
      </c>
      <c r="D4" s="23"/>
      <c r="E4" s="23"/>
      <c r="F4" s="23"/>
      <c r="G4" s="26" t="s">
        <v>97</v>
      </c>
      <c r="H4" s="28">
        <f>'Links and calculations'!L8</f>
        <v>720</v>
      </c>
      <c r="I4" s="23"/>
      <c r="J4" s="46" t="s">
        <v>131</v>
      </c>
      <c r="K4" s="46"/>
      <c r="L4" s="46"/>
      <c r="M4" s="46"/>
      <c r="N4" s="46"/>
      <c r="O4" s="32"/>
      <c r="P4" s="13"/>
      <c r="Q4" s="13"/>
      <c r="R4" s="13"/>
      <c r="S4" s="13"/>
      <c r="T4" s="13"/>
    </row>
    <row r="5" spans="2:20" ht="16.5" customHeight="1" x14ac:dyDescent="0.3">
      <c r="B5" s="23"/>
      <c r="C5" s="23"/>
      <c r="D5" s="23"/>
      <c r="E5" s="23"/>
      <c r="F5" s="23"/>
      <c r="G5" s="23"/>
      <c r="H5" s="23"/>
      <c r="I5" s="23"/>
      <c r="J5" s="47" t="s">
        <v>132</v>
      </c>
      <c r="K5" s="47"/>
      <c r="L5" s="47"/>
      <c r="M5" s="47"/>
      <c r="N5" s="47"/>
      <c r="O5" s="32"/>
      <c r="P5" s="13"/>
      <c r="Q5" s="13"/>
      <c r="R5" s="13"/>
      <c r="S5" s="13"/>
      <c r="T5" s="13"/>
    </row>
    <row r="6" spans="2:20" ht="20.25" x14ac:dyDescent="0.35">
      <c r="B6" s="23"/>
      <c r="C6" s="26" t="s">
        <v>9</v>
      </c>
      <c r="D6" s="23"/>
      <c r="E6" s="23"/>
      <c r="F6" s="23"/>
      <c r="G6" s="26" t="s">
        <v>97</v>
      </c>
      <c r="H6" s="28">
        <f>'Links and calculations'!L9</f>
        <v>6000</v>
      </c>
      <c r="I6" s="23"/>
      <c r="J6" s="47"/>
      <c r="K6" s="47"/>
      <c r="L6" s="47"/>
      <c r="M6" s="47"/>
      <c r="N6" s="47"/>
      <c r="O6" s="33"/>
      <c r="P6" s="29"/>
      <c r="Q6" s="29"/>
      <c r="R6" s="29"/>
      <c r="S6" s="29"/>
      <c r="T6" s="29"/>
    </row>
    <row r="7" spans="2:20" ht="16.5" customHeight="1" x14ac:dyDescent="0.3">
      <c r="B7" s="23"/>
      <c r="C7" s="23"/>
      <c r="D7" s="23"/>
      <c r="E7" s="23"/>
      <c r="F7" s="23"/>
      <c r="G7" s="23"/>
      <c r="H7" s="23"/>
      <c r="I7" s="23"/>
      <c r="J7" s="47"/>
      <c r="K7" s="47"/>
      <c r="L7" s="47"/>
      <c r="M7" s="47"/>
      <c r="N7" s="47"/>
      <c r="O7" s="33"/>
      <c r="P7" s="29"/>
      <c r="Q7" s="29"/>
      <c r="R7" s="29"/>
      <c r="S7" s="29"/>
      <c r="T7" s="29"/>
    </row>
    <row r="8" spans="2:20" ht="20.25" x14ac:dyDescent="0.35">
      <c r="B8" s="23"/>
      <c r="C8" s="26" t="s">
        <v>106</v>
      </c>
      <c r="D8" s="23"/>
      <c r="E8" s="23"/>
      <c r="F8" s="23"/>
      <c r="G8" s="26" t="s">
        <v>97</v>
      </c>
      <c r="H8" s="28">
        <f>'Links and calculations'!L10</f>
        <v>1800</v>
      </c>
      <c r="I8" s="23"/>
      <c r="J8" s="47"/>
      <c r="K8" s="47"/>
      <c r="L8" s="47"/>
      <c r="M8" s="47"/>
      <c r="N8" s="47"/>
      <c r="O8" s="33"/>
      <c r="P8" s="29"/>
      <c r="Q8" s="29"/>
      <c r="R8" s="29"/>
      <c r="S8" s="16"/>
      <c r="T8" s="29"/>
    </row>
    <row r="9" spans="2:20" ht="16.5" customHeight="1" x14ac:dyDescent="0.3">
      <c r="B9" s="23"/>
      <c r="C9" s="23"/>
      <c r="D9" s="23"/>
      <c r="E9" s="23"/>
      <c r="F9" s="23"/>
      <c r="G9" s="23"/>
      <c r="H9" s="23"/>
      <c r="I9" s="23"/>
      <c r="J9" s="47"/>
      <c r="K9" s="47"/>
      <c r="L9" s="47"/>
      <c r="M9" s="47"/>
      <c r="N9" s="47"/>
      <c r="O9" s="33"/>
      <c r="P9" s="29"/>
      <c r="Q9" s="29"/>
      <c r="R9" s="16"/>
      <c r="S9" s="16"/>
      <c r="T9" s="29"/>
    </row>
    <row r="10" spans="2:20" ht="20.25" x14ac:dyDescent="0.35">
      <c r="B10" s="23"/>
      <c r="C10" s="26" t="s">
        <v>24</v>
      </c>
      <c r="D10" s="23"/>
      <c r="E10" s="44"/>
      <c r="F10" s="44"/>
      <c r="G10" s="26" t="s">
        <v>97</v>
      </c>
      <c r="H10" s="30">
        <f>'Links and calculations'!L11</f>
        <v>30000</v>
      </c>
      <c r="I10" s="23"/>
      <c r="J10" s="47"/>
      <c r="K10" s="47"/>
      <c r="L10" s="47"/>
      <c r="M10" s="47"/>
      <c r="N10" s="47"/>
      <c r="O10" s="33"/>
      <c r="P10" s="16"/>
      <c r="Q10" s="16"/>
      <c r="R10" s="16"/>
      <c r="S10" s="29"/>
      <c r="T10" s="16"/>
    </row>
    <row r="11" spans="2:20" ht="16.5" x14ac:dyDescent="0.3">
      <c r="B11" s="23"/>
      <c r="C11" s="23"/>
      <c r="D11" s="23"/>
      <c r="E11" s="23"/>
      <c r="F11" s="23"/>
      <c r="G11" s="23"/>
      <c r="H11" s="23"/>
      <c r="I11" s="23"/>
      <c r="J11" s="47"/>
      <c r="K11" s="47"/>
      <c r="L11" s="47"/>
      <c r="M11" s="47"/>
      <c r="N11" s="47"/>
      <c r="O11" s="31"/>
    </row>
    <row r="12" spans="2:20" ht="20.25" x14ac:dyDescent="0.35">
      <c r="B12" s="23"/>
      <c r="C12" s="26" t="s">
        <v>79</v>
      </c>
      <c r="D12" s="23"/>
      <c r="E12" s="23"/>
      <c r="F12" s="23"/>
      <c r="G12" s="26" t="s">
        <v>97</v>
      </c>
      <c r="H12" s="28">
        <f>'Links and calculations'!L12</f>
        <v>0</v>
      </c>
      <c r="I12" s="23"/>
      <c r="J12" s="35"/>
      <c r="K12" s="36"/>
      <c r="L12" s="36"/>
      <c r="M12" s="36"/>
      <c r="N12" s="36"/>
      <c r="O12" s="31"/>
    </row>
    <row r="13" spans="2:20" ht="16.5" x14ac:dyDescent="0.3">
      <c r="B13" s="23"/>
      <c r="C13" s="23"/>
      <c r="D13" s="23"/>
      <c r="E13" s="23"/>
      <c r="F13" s="23"/>
      <c r="G13" s="23"/>
      <c r="H13" s="23"/>
      <c r="I13" s="23"/>
      <c r="J13" s="40" t="s">
        <v>133</v>
      </c>
      <c r="K13" s="41"/>
      <c r="L13" s="41"/>
      <c r="M13" s="41"/>
      <c r="N13" s="41"/>
      <c r="O13" s="31"/>
    </row>
    <row r="14" spans="2:20" ht="16.5" x14ac:dyDescent="0.3">
      <c r="B14" s="23"/>
      <c r="C14" s="23"/>
      <c r="D14" s="23"/>
      <c r="E14" s="23"/>
      <c r="F14" s="23"/>
      <c r="G14" s="23"/>
      <c r="H14" s="23"/>
      <c r="I14" s="23"/>
      <c r="J14" s="35"/>
      <c r="K14" s="40" t="s">
        <v>138</v>
      </c>
      <c r="L14" s="40"/>
      <c r="M14" s="40"/>
      <c r="N14" s="36"/>
      <c r="O14" s="31"/>
    </row>
    <row r="15" spans="2:20" ht="16.5" x14ac:dyDescent="0.3">
      <c r="B15" s="23"/>
      <c r="C15" s="23"/>
      <c r="D15" s="23"/>
      <c r="E15" s="23"/>
      <c r="F15" s="23"/>
      <c r="G15" s="23"/>
      <c r="H15" s="23"/>
      <c r="I15" s="23"/>
      <c r="J15" s="23"/>
      <c r="K15" s="31"/>
      <c r="L15" s="31"/>
      <c r="M15" s="31"/>
      <c r="N15" s="31"/>
      <c r="O15" s="31"/>
    </row>
    <row r="16" spans="2:20" ht="20.25" x14ac:dyDescent="0.35">
      <c r="B16" s="23"/>
      <c r="C16" s="26" t="s">
        <v>109</v>
      </c>
      <c r="D16" s="23"/>
      <c r="E16" s="23"/>
      <c r="F16" s="23"/>
      <c r="G16" s="26" t="s">
        <v>97</v>
      </c>
      <c r="H16" s="28">
        <f>'Links and calculations'!L13</f>
        <v>4356</v>
      </c>
      <c r="I16" s="23"/>
      <c r="J16" s="23"/>
      <c r="K16" s="31"/>
      <c r="L16" s="31"/>
      <c r="M16" s="31"/>
      <c r="N16" s="31"/>
      <c r="O16" s="31"/>
    </row>
    <row r="17" spans="2:15" ht="16.5" x14ac:dyDescent="0.3">
      <c r="B17" s="23"/>
      <c r="C17" s="23"/>
      <c r="D17" s="23"/>
      <c r="E17" s="23"/>
      <c r="F17" s="23"/>
      <c r="G17" s="23"/>
      <c r="H17" s="23"/>
      <c r="I17" s="23"/>
      <c r="J17" s="23"/>
      <c r="K17" s="31"/>
      <c r="L17" s="31"/>
      <c r="M17" s="31"/>
      <c r="N17" s="31"/>
      <c r="O17" s="31"/>
    </row>
    <row r="18" spans="2:15" ht="20.25" x14ac:dyDescent="0.35">
      <c r="B18" s="23"/>
      <c r="C18" s="26" t="s">
        <v>110</v>
      </c>
      <c r="D18" s="23"/>
      <c r="E18" s="23"/>
      <c r="F18" s="23"/>
      <c r="G18" s="26" t="s">
        <v>97</v>
      </c>
      <c r="H18" s="28">
        <f>'Links and calculations'!L19</f>
        <v>0</v>
      </c>
      <c r="I18" s="23"/>
      <c r="J18" s="23"/>
      <c r="K18" s="31"/>
      <c r="L18" s="31"/>
      <c r="M18" s="31"/>
      <c r="N18" s="31"/>
      <c r="O18" s="31"/>
    </row>
    <row r="19" spans="2:15" ht="16.5" x14ac:dyDescent="0.3">
      <c r="B19" s="23"/>
      <c r="C19" s="23"/>
      <c r="D19" s="23"/>
      <c r="E19" s="23"/>
      <c r="F19" s="23"/>
      <c r="G19" s="23"/>
      <c r="H19" s="23"/>
      <c r="I19" s="23"/>
      <c r="J19" s="23"/>
      <c r="K19" s="31"/>
      <c r="L19" s="31"/>
      <c r="M19" s="31"/>
      <c r="N19" s="31"/>
      <c r="O19" s="31"/>
    </row>
    <row r="20" spans="2:15" ht="25.5" customHeight="1" x14ac:dyDescent="0.5">
      <c r="B20" s="23"/>
      <c r="C20" s="23"/>
      <c r="D20" s="23"/>
      <c r="E20" s="23"/>
      <c r="F20" s="23"/>
      <c r="G20" s="23"/>
      <c r="H20" s="23"/>
      <c r="I20" s="23"/>
      <c r="J20" s="42" t="s">
        <v>134</v>
      </c>
      <c r="K20" s="42"/>
      <c r="L20" s="42"/>
      <c r="M20" s="42"/>
      <c r="N20" s="42"/>
      <c r="O20" s="31"/>
    </row>
    <row r="21" spans="2:15" ht="25.5" customHeight="1" x14ac:dyDescent="0.5">
      <c r="B21" s="23"/>
      <c r="C21" s="26" t="s">
        <v>112</v>
      </c>
      <c r="D21" s="23"/>
      <c r="E21" s="23"/>
      <c r="F21" s="23"/>
      <c r="G21" s="26" t="s">
        <v>97</v>
      </c>
      <c r="H21" s="28">
        <f>'Links and calculations'!L20</f>
        <v>9600</v>
      </c>
      <c r="I21" s="23"/>
      <c r="J21" s="38"/>
      <c r="K21" s="43">
        <f>IF('Links and calculations'!F29="No",H4+H6+H8+H10+H12+H16+H18+H21+H23+H25+H27,(H4+H6+H8+H10+H12+H16+H18+H21+H23+H25+H27)*0.75)</f>
        <v>98196</v>
      </c>
      <c r="L21" s="43"/>
      <c r="M21" s="43"/>
      <c r="N21" s="38"/>
      <c r="O21" s="31"/>
    </row>
    <row r="22" spans="2:15" ht="16.5" x14ac:dyDescent="0.3">
      <c r="B22" s="23"/>
      <c r="C22" s="23"/>
      <c r="D22" s="23"/>
      <c r="E22" s="23"/>
      <c r="F22" s="23"/>
      <c r="G22" s="23"/>
      <c r="H22" s="23"/>
      <c r="I22" s="23"/>
      <c r="J22" s="23"/>
      <c r="K22" s="31"/>
      <c r="L22" s="31"/>
      <c r="M22" s="31"/>
      <c r="N22" s="31"/>
      <c r="O22" s="31"/>
    </row>
    <row r="23" spans="2:15" ht="20.25" x14ac:dyDescent="0.35">
      <c r="B23" s="23"/>
      <c r="C23" s="26" t="s">
        <v>113</v>
      </c>
      <c r="D23" s="23"/>
      <c r="E23" s="23"/>
      <c r="F23" s="23"/>
      <c r="G23" s="26" t="s">
        <v>97</v>
      </c>
      <c r="H23" s="28">
        <f>'Links and calculations'!L21</f>
        <v>1800</v>
      </c>
      <c r="I23" s="23"/>
      <c r="J23" s="23"/>
      <c r="K23" s="31"/>
      <c r="L23" s="31"/>
      <c r="M23" s="31"/>
      <c r="N23" s="31"/>
      <c r="O23" s="31"/>
    </row>
    <row r="24" spans="2:15" ht="16.5" x14ac:dyDescent="0.3">
      <c r="B24" s="23"/>
      <c r="C24" s="23"/>
      <c r="D24" s="23"/>
      <c r="E24" s="23"/>
      <c r="F24" s="23"/>
      <c r="G24" s="23"/>
      <c r="H24" s="23"/>
      <c r="I24" s="23"/>
      <c r="J24" s="23"/>
      <c r="K24" s="31"/>
      <c r="L24" s="31"/>
      <c r="M24" s="31"/>
      <c r="N24" s="31"/>
      <c r="O24" s="31"/>
    </row>
    <row r="25" spans="2:15" ht="20.25" x14ac:dyDescent="0.35">
      <c r="B25" s="23"/>
      <c r="C25" s="26" t="s">
        <v>125</v>
      </c>
      <c r="D25" s="23"/>
      <c r="E25" s="23"/>
      <c r="F25" s="23"/>
      <c r="G25" s="26" t="s">
        <v>97</v>
      </c>
      <c r="H25" s="28">
        <f>'Links and calculations'!L22</f>
        <v>0</v>
      </c>
      <c r="I25" s="23"/>
      <c r="J25" s="23"/>
      <c r="K25" s="31"/>
      <c r="L25" s="31"/>
      <c r="M25" s="31"/>
      <c r="N25" s="31"/>
      <c r="O25" s="31"/>
    </row>
    <row r="26" spans="2:15" ht="16.5" x14ac:dyDescent="0.3">
      <c r="B26" s="23"/>
      <c r="C26" s="23"/>
      <c r="D26" s="23"/>
      <c r="E26" s="23"/>
      <c r="F26" s="23"/>
      <c r="G26" s="23"/>
      <c r="H26" s="23"/>
      <c r="I26" s="23"/>
      <c r="J26" s="23"/>
      <c r="K26" s="31"/>
      <c r="L26" s="31"/>
      <c r="M26" s="31"/>
      <c r="N26" s="31"/>
      <c r="O26" s="31"/>
    </row>
    <row r="27" spans="2:15" ht="16.5" customHeight="1" x14ac:dyDescent="0.35">
      <c r="B27" s="23"/>
      <c r="C27" s="39" t="s">
        <v>139</v>
      </c>
      <c r="D27" s="23"/>
      <c r="E27" s="23"/>
      <c r="F27" s="23"/>
      <c r="G27" s="26" t="s">
        <v>97</v>
      </c>
      <c r="H27" s="28">
        <f>'Links and calculations'!L28</f>
        <v>43920</v>
      </c>
      <c r="I27" s="23"/>
      <c r="J27" s="23"/>
      <c r="K27" s="31"/>
      <c r="L27" s="31"/>
      <c r="M27" s="31"/>
      <c r="N27" s="31"/>
      <c r="O27" s="31"/>
    </row>
    <row r="28" spans="2:15" ht="16.5" customHeight="1" x14ac:dyDescent="0.3">
      <c r="B28" s="23"/>
      <c r="C28" s="39"/>
      <c r="D28" s="23"/>
      <c r="E28" s="23"/>
      <c r="F28" s="23"/>
      <c r="G28" s="23"/>
      <c r="H28" s="23"/>
      <c r="I28" s="23"/>
      <c r="J28" s="23"/>
      <c r="K28" s="31"/>
      <c r="L28" s="31"/>
      <c r="M28" s="31"/>
      <c r="N28" s="31"/>
      <c r="O28" s="31"/>
    </row>
    <row r="29" spans="2:15" x14ac:dyDescent="0.25">
      <c r="B29" s="31"/>
      <c r="C29" s="31"/>
      <c r="D29" s="31"/>
      <c r="E29" s="31"/>
      <c r="F29" s="31"/>
      <c r="G29" s="31"/>
      <c r="H29" s="31"/>
      <c r="I29" s="31"/>
      <c r="J29" s="31"/>
      <c r="K29" s="31"/>
      <c r="L29" s="31"/>
      <c r="M29" s="31"/>
      <c r="N29" s="31"/>
      <c r="O29" s="31"/>
    </row>
    <row r="30" spans="2:15" x14ac:dyDescent="0.25">
      <c r="B30" s="31"/>
      <c r="C30" s="31"/>
      <c r="D30" s="31"/>
      <c r="E30" s="31"/>
      <c r="F30" s="31"/>
      <c r="G30" s="31"/>
      <c r="H30" s="31"/>
      <c r="I30" s="31"/>
      <c r="J30" s="31"/>
      <c r="K30" s="31"/>
      <c r="L30" s="31"/>
      <c r="M30" s="31"/>
      <c r="N30" s="31"/>
      <c r="O30" s="31"/>
    </row>
    <row r="31" spans="2:15" x14ac:dyDescent="0.25">
      <c r="B31" s="34"/>
      <c r="C31" s="34"/>
      <c r="D31" s="34"/>
      <c r="E31" s="34"/>
      <c r="F31" s="34"/>
      <c r="G31" s="34"/>
      <c r="H31" s="34"/>
      <c r="I31" s="34"/>
      <c r="J31" s="34"/>
    </row>
    <row r="32" spans="2:15" x14ac:dyDescent="0.25">
      <c r="B32" s="34"/>
      <c r="C32" s="34"/>
      <c r="D32" s="34"/>
      <c r="E32" s="34"/>
      <c r="F32" s="34"/>
      <c r="G32" s="34"/>
      <c r="H32" s="34"/>
      <c r="I32" s="34"/>
      <c r="J32" s="34"/>
    </row>
    <row r="33" spans="2:10" x14ac:dyDescent="0.25">
      <c r="B33" s="34"/>
      <c r="C33" s="34"/>
      <c r="D33" s="34"/>
      <c r="E33" s="34"/>
      <c r="F33" s="34"/>
      <c r="G33" s="34"/>
      <c r="H33" s="34"/>
      <c r="I33" s="34"/>
      <c r="J33" s="34"/>
    </row>
    <row r="34" spans="2:10" x14ac:dyDescent="0.25">
      <c r="B34" s="34"/>
      <c r="C34" s="34"/>
      <c r="D34" s="34"/>
      <c r="E34" s="34"/>
      <c r="F34" s="34"/>
      <c r="G34" s="34"/>
      <c r="H34" s="34"/>
      <c r="I34" s="34"/>
      <c r="J34" s="34"/>
    </row>
    <row r="201" spans="22:22" x14ac:dyDescent="0.25">
      <c r="V201" s="1" t="s">
        <v>0</v>
      </c>
    </row>
  </sheetData>
  <mergeCells count="9">
    <mergeCell ref="B1:O1"/>
    <mergeCell ref="J4:N4"/>
    <mergeCell ref="J5:N11"/>
    <mergeCell ref="K14:M14"/>
    <mergeCell ref="C27:C28"/>
    <mergeCell ref="J13:N13"/>
    <mergeCell ref="J20:N20"/>
    <mergeCell ref="K21:M21"/>
    <mergeCell ref="E10:F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autoLine="0" autoPict="0">
                <anchor moveWithCells="1">
                  <from>
                    <xdr:col>3</xdr:col>
                    <xdr:colOff>161925</xdr:colOff>
                    <xdr:row>1</xdr:row>
                    <xdr:rowOff>9525</xdr:rowOff>
                  </from>
                  <to>
                    <xdr:col>5</xdr:col>
                    <xdr:colOff>685800</xdr:colOff>
                    <xdr:row>1</xdr:row>
                    <xdr:rowOff>314325</xdr:rowOff>
                  </to>
                </anchor>
              </controlPr>
            </control>
          </mc:Choice>
        </mc:AlternateContent>
        <mc:AlternateContent xmlns:mc="http://schemas.openxmlformats.org/markup-compatibility/2006">
          <mc:Choice Requires="x14">
            <control shapeId="2051" r:id="rId5" name="Spinner 3">
              <controlPr defaultSize="0" autoPict="0">
                <anchor moveWithCells="1" sizeWithCells="1">
                  <from>
                    <xdr:col>8</xdr:col>
                    <xdr:colOff>76200</xdr:colOff>
                    <xdr:row>1</xdr:row>
                    <xdr:rowOff>19050</xdr:rowOff>
                  </from>
                  <to>
                    <xdr:col>8</xdr:col>
                    <xdr:colOff>457200</xdr:colOff>
                    <xdr:row>1</xdr:row>
                    <xdr:rowOff>304800</xdr:rowOff>
                  </to>
                </anchor>
              </controlPr>
            </control>
          </mc:Choice>
        </mc:AlternateContent>
        <mc:AlternateContent xmlns:mc="http://schemas.openxmlformats.org/markup-compatibility/2006">
          <mc:Choice Requires="x14">
            <control shapeId="2052" r:id="rId6" name="Drop Down 4">
              <controlPr defaultSize="0" autoLine="0" autoPict="0">
                <anchor moveWithCells="1">
                  <from>
                    <xdr:col>3</xdr:col>
                    <xdr:colOff>161925</xdr:colOff>
                    <xdr:row>3</xdr:row>
                    <xdr:rowOff>9525</xdr:rowOff>
                  </from>
                  <to>
                    <xdr:col>5</xdr:col>
                    <xdr:colOff>704850</xdr:colOff>
                    <xdr:row>3</xdr:row>
                    <xdr:rowOff>257175</xdr:rowOff>
                  </to>
                </anchor>
              </controlPr>
            </control>
          </mc:Choice>
        </mc:AlternateContent>
        <mc:AlternateContent xmlns:mc="http://schemas.openxmlformats.org/markup-compatibility/2006">
          <mc:Choice Requires="x14">
            <control shapeId="2055" r:id="rId7" name="Drop Down 7">
              <controlPr defaultSize="0" autoLine="0" autoPict="0">
                <anchor moveWithCells="1">
                  <from>
                    <xdr:col>3</xdr:col>
                    <xdr:colOff>161925</xdr:colOff>
                    <xdr:row>7</xdr:row>
                    <xdr:rowOff>9525</xdr:rowOff>
                  </from>
                  <to>
                    <xdr:col>5</xdr:col>
                    <xdr:colOff>704850</xdr:colOff>
                    <xdr:row>8</xdr:row>
                    <xdr:rowOff>0</xdr:rowOff>
                  </to>
                </anchor>
              </controlPr>
            </control>
          </mc:Choice>
        </mc:AlternateContent>
        <mc:AlternateContent xmlns:mc="http://schemas.openxmlformats.org/markup-compatibility/2006">
          <mc:Choice Requires="x14">
            <control shapeId="2062" r:id="rId8" name="Check Box 14">
              <controlPr defaultSize="0" autoFill="0" autoLine="0" autoPict="0">
                <anchor moveWithCells="1">
                  <from>
                    <xdr:col>3</xdr:col>
                    <xdr:colOff>123825</xdr:colOff>
                    <xdr:row>11</xdr:row>
                    <xdr:rowOff>9525</xdr:rowOff>
                  </from>
                  <to>
                    <xdr:col>4</xdr:col>
                    <xdr:colOff>266700</xdr:colOff>
                    <xdr:row>11</xdr:row>
                    <xdr:rowOff>228600</xdr:rowOff>
                  </to>
                </anchor>
              </controlPr>
            </control>
          </mc:Choice>
        </mc:AlternateContent>
        <mc:AlternateContent xmlns:mc="http://schemas.openxmlformats.org/markup-compatibility/2006">
          <mc:Choice Requires="x14">
            <control shapeId="2064" r:id="rId9" name="Drop Down 16">
              <controlPr defaultSize="0" autoLine="0" autoPict="0">
                <anchor moveWithCells="1">
                  <from>
                    <xdr:col>3</xdr:col>
                    <xdr:colOff>133350</xdr:colOff>
                    <xdr:row>14</xdr:row>
                    <xdr:rowOff>200025</xdr:rowOff>
                  </from>
                  <to>
                    <xdr:col>5</xdr:col>
                    <xdr:colOff>676275</xdr:colOff>
                    <xdr:row>15</xdr:row>
                    <xdr:rowOff>238125</xdr:rowOff>
                  </to>
                </anchor>
              </controlPr>
            </control>
          </mc:Choice>
        </mc:AlternateContent>
        <mc:AlternateContent xmlns:mc="http://schemas.openxmlformats.org/markup-compatibility/2006">
          <mc:Choice Requires="x14">
            <control shapeId="2067" r:id="rId10" name="Check Box 19">
              <controlPr defaultSize="0" autoFill="0" autoLine="0" autoPict="0">
                <anchor moveWithCells="1">
                  <from>
                    <xdr:col>3</xdr:col>
                    <xdr:colOff>114300</xdr:colOff>
                    <xdr:row>17</xdr:row>
                    <xdr:rowOff>19050</xdr:rowOff>
                  </from>
                  <to>
                    <xdr:col>5</xdr:col>
                    <xdr:colOff>133350</xdr:colOff>
                    <xdr:row>17</xdr:row>
                    <xdr:rowOff>200025</xdr:rowOff>
                  </to>
                </anchor>
              </controlPr>
            </control>
          </mc:Choice>
        </mc:AlternateContent>
        <mc:AlternateContent xmlns:mc="http://schemas.openxmlformats.org/markup-compatibility/2006">
          <mc:Choice Requires="x14">
            <control shapeId="2068" r:id="rId11" name="Check Box 20">
              <controlPr defaultSize="0" autoFill="0" autoLine="0" autoPict="0">
                <anchor moveWithCells="1">
                  <from>
                    <xdr:col>5</xdr:col>
                    <xdr:colOff>171450</xdr:colOff>
                    <xdr:row>17</xdr:row>
                    <xdr:rowOff>19050</xdr:rowOff>
                  </from>
                  <to>
                    <xdr:col>5</xdr:col>
                    <xdr:colOff>866775</xdr:colOff>
                    <xdr:row>17</xdr:row>
                    <xdr:rowOff>200025</xdr:rowOff>
                  </to>
                </anchor>
              </controlPr>
            </control>
          </mc:Choice>
        </mc:AlternateContent>
        <mc:AlternateContent xmlns:mc="http://schemas.openxmlformats.org/markup-compatibility/2006">
          <mc:Choice Requires="x14">
            <control shapeId="2069" r:id="rId12" name="Check Box 21">
              <controlPr defaultSize="0" autoFill="0" autoLine="0" autoPict="0">
                <anchor moveWithCells="1">
                  <from>
                    <xdr:col>3</xdr:col>
                    <xdr:colOff>114300</xdr:colOff>
                    <xdr:row>17</xdr:row>
                    <xdr:rowOff>209550</xdr:rowOff>
                  </from>
                  <to>
                    <xdr:col>5</xdr:col>
                    <xdr:colOff>133350</xdr:colOff>
                    <xdr:row>18</xdr:row>
                    <xdr:rowOff>133350</xdr:rowOff>
                  </to>
                </anchor>
              </controlPr>
            </control>
          </mc:Choice>
        </mc:AlternateContent>
        <mc:AlternateContent xmlns:mc="http://schemas.openxmlformats.org/markup-compatibility/2006">
          <mc:Choice Requires="x14">
            <control shapeId="2070" r:id="rId13" name="Check Box 22">
              <controlPr defaultSize="0" autoFill="0" autoLine="0" autoPict="0">
                <anchor moveWithCells="1">
                  <from>
                    <xdr:col>5</xdr:col>
                    <xdr:colOff>171450</xdr:colOff>
                    <xdr:row>17</xdr:row>
                    <xdr:rowOff>209550</xdr:rowOff>
                  </from>
                  <to>
                    <xdr:col>5</xdr:col>
                    <xdr:colOff>866775</xdr:colOff>
                    <xdr:row>18</xdr:row>
                    <xdr:rowOff>133350</xdr:rowOff>
                  </to>
                </anchor>
              </controlPr>
            </control>
          </mc:Choice>
        </mc:AlternateContent>
        <mc:AlternateContent xmlns:mc="http://schemas.openxmlformats.org/markup-compatibility/2006">
          <mc:Choice Requires="x14">
            <control shapeId="2071" r:id="rId14" name="Check Box 23">
              <controlPr defaultSize="0" autoFill="0" autoLine="0" autoPict="0">
                <anchor moveWithCells="1">
                  <from>
                    <xdr:col>3</xdr:col>
                    <xdr:colOff>114300</xdr:colOff>
                    <xdr:row>18</xdr:row>
                    <xdr:rowOff>123825</xdr:rowOff>
                  </from>
                  <to>
                    <xdr:col>5</xdr:col>
                    <xdr:colOff>438150</xdr:colOff>
                    <xdr:row>19</xdr:row>
                    <xdr:rowOff>85725</xdr:rowOff>
                  </to>
                </anchor>
              </controlPr>
            </control>
          </mc:Choice>
        </mc:AlternateContent>
        <mc:AlternateContent xmlns:mc="http://schemas.openxmlformats.org/markup-compatibility/2006">
          <mc:Choice Requires="x14">
            <control shapeId="2073" r:id="rId15" name="Drop Down 25">
              <controlPr defaultSize="0" autoLine="0" autoPict="0">
                <anchor moveWithCells="1">
                  <from>
                    <xdr:col>3</xdr:col>
                    <xdr:colOff>95250</xdr:colOff>
                    <xdr:row>20</xdr:row>
                    <xdr:rowOff>0</xdr:rowOff>
                  </from>
                  <to>
                    <xdr:col>5</xdr:col>
                    <xdr:colOff>1285875</xdr:colOff>
                    <xdr:row>20</xdr:row>
                    <xdr:rowOff>247650</xdr:rowOff>
                  </to>
                </anchor>
              </controlPr>
            </control>
          </mc:Choice>
        </mc:AlternateContent>
        <mc:AlternateContent xmlns:mc="http://schemas.openxmlformats.org/markup-compatibility/2006">
          <mc:Choice Requires="x14">
            <control shapeId="2075" r:id="rId16" name="Drop Down 27">
              <controlPr defaultSize="0" autoLine="0" autoPict="0">
                <anchor moveWithCells="1">
                  <from>
                    <xdr:col>3</xdr:col>
                    <xdr:colOff>104775</xdr:colOff>
                    <xdr:row>21</xdr:row>
                    <xdr:rowOff>200025</xdr:rowOff>
                  </from>
                  <to>
                    <xdr:col>5</xdr:col>
                    <xdr:colOff>647700</xdr:colOff>
                    <xdr:row>22</xdr:row>
                    <xdr:rowOff>238125</xdr:rowOff>
                  </to>
                </anchor>
              </controlPr>
            </control>
          </mc:Choice>
        </mc:AlternateContent>
        <mc:AlternateContent xmlns:mc="http://schemas.openxmlformats.org/markup-compatibility/2006">
          <mc:Choice Requires="x14">
            <control shapeId="2076" r:id="rId17" name="Drop Down 28">
              <controlPr defaultSize="0" autoLine="0" autoPict="0">
                <anchor moveWithCells="1">
                  <from>
                    <xdr:col>3</xdr:col>
                    <xdr:colOff>161925</xdr:colOff>
                    <xdr:row>9</xdr:row>
                    <xdr:rowOff>0</xdr:rowOff>
                  </from>
                  <to>
                    <xdr:col>5</xdr:col>
                    <xdr:colOff>704850</xdr:colOff>
                    <xdr:row>9</xdr:row>
                    <xdr:rowOff>247650</xdr:rowOff>
                  </to>
                </anchor>
              </controlPr>
            </control>
          </mc:Choice>
        </mc:AlternateContent>
        <mc:AlternateContent xmlns:mc="http://schemas.openxmlformats.org/markup-compatibility/2006">
          <mc:Choice Requires="x14">
            <control shapeId="2077" r:id="rId18" name="Drop Down 29">
              <controlPr defaultSize="0" autoLine="0" autoPict="0">
                <anchor moveWithCells="1">
                  <from>
                    <xdr:col>3</xdr:col>
                    <xdr:colOff>161925</xdr:colOff>
                    <xdr:row>5</xdr:row>
                    <xdr:rowOff>9525</xdr:rowOff>
                  </from>
                  <to>
                    <xdr:col>5</xdr:col>
                    <xdr:colOff>1247775</xdr:colOff>
                    <xdr:row>6</xdr:row>
                    <xdr:rowOff>0</xdr:rowOff>
                  </to>
                </anchor>
              </controlPr>
            </control>
          </mc:Choice>
        </mc:AlternateContent>
        <mc:AlternateContent xmlns:mc="http://schemas.openxmlformats.org/markup-compatibility/2006">
          <mc:Choice Requires="x14">
            <control shapeId="2080" r:id="rId19" name="Drop Down 32">
              <controlPr defaultSize="0" autoLine="0" autoPict="0">
                <anchor moveWithCells="1">
                  <from>
                    <xdr:col>3</xdr:col>
                    <xdr:colOff>95250</xdr:colOff>
                    <xdr:row>24</xdr:row>
                    <xdr:rowOff>19050</xdr:rowOff>
                  </from>
                  <to>
                    <xdr:col>5</xdr:col>
                    <xdr:colOff>638175</xdr:colOff>
                    <xdr:row>25</xdr:row>
                    <xdr:rowOff>9525</xdr:rowOff>
                  </to>
                </anchor>
              </controlPr>
            </control>
          </mc:Choice>
        </mc:AlternateContent>
        <mc:AlternateContent xmlns:mc="http://schemas.openxmlformats.org/markup-compatibility/2006">
          <mc:Choice Requires="x14">
            <control shapeId="2082" r:id="rId20" name="Check Box 34">
              <controlPr defaultSize="0" autoFill="0" autoLine="0" autoPict="0">
                <anchor moveWithCells="1">
                  <from>
                    <xdr:col>3</xdr:col>
                    <xdr:colOff>47625</xdr:colOff>
                    <xdr:row>26</xdr:row>
                    <xdr:rowOff>57150</xdr:rowOff>
                  </from>
                  <to>
                    <xdr:col>5</xdr:col>
                    <xdr:colOff>66675</xdr:colOff>
                    <xdr:row>27</xdr:row>
                    <xdr:rowOff>28575</xdr:rowOff>
                  </to>
                </anchor>
              </controlPr>
            </control>
          </mc:Choice>
        </mc:AlternateContent>
        <mc:AlternateContent xmlns:mc="http://schemas.openxmlformats.org/markup-compatibility/2006">
          <mc:Choice Requires="x14">
            <control shapeId="2083" r:id="rId21" name="Check Box 35">
              <controlPr defaultSize="0" autoFill="0" autoLine="0" autoPict="0">
                <anchor moveWithCells="1">
                  <from>
                    <xdr:col>5</xdr:col>
                    <xdr:colOff>104775</xdr:colOff>
                    <xdr:row>26</xdr:row>
                    <xdr:rowOff>57150</xdr:rowOff>
                  </from>
                  <to>
                    <xdr:col>5</xdr:col>
                    <xdr:colOff>800100</xdr:colOff>
                    <xdr:row>27</xdr:row>
                    <xdr:rowOff>28575</xdr:rowOff>
                  </to>
                </anchor>
              </controlPr>
            </control>
          </mc:Choice>
        </mc:AlternateContent>
        <mc:AlternateContent xmlns:mc="http://schemas.openxmlformats.org/markup-compatibility/2006">
          <mc:Choice Requires="x14">
            <control shapeId="2084" r:id="rId22" name="Check Box 36">
              <controlPr defaultSize="0" autoFill="0" autoLine="0" autoPict="0">
                <anchor moveWithCells="1">
                  <from>
                    <xdr:col>3</xdr:col>
                    <xdr:colOff>47625</xdr:colOff>
                    <xdr:row>27</xdr:row>
                    <xdr:rowOff>0</xdr:rowOff>
                  </from>
                  <to>
                    <xdr:col>5</xdr:col>
                    <xdr:colOff>66675</xdr:colOff>
                    <xdr:row>27</xdr:row>
                    <xdr:rowOff>180975</xdr:rowOff>
                  </to>
                </anchor>
              </controlPr>
            </control>
          </mc:Choice>
        </mc:AlternateContent>
        <mc:AlternateContent xmlns:mc="http://schemas.openxmlformats.org/markup-compatibility/2006">
          <mc:Choice Requires="x14">
            <control shapeId="2087" r:id="rId23" name="Button 39">
              <controlPr defaultSize="0" print="0" autoFill="0" autoPict="0" macro="[0]!Macro2">
                <anchor moveWithCells="1" sizeWithCells="1">
                  <from>
                    <xdr:col>12</xdr:col>
                    <xdr:colOff>238125</xdr:colOff>
                    <xdr:row>15</xdr:row>
                    <xdr:rowOff>28575</xdr:rowOff>
                  </from>
                  <to>
                    <xdr:col>14</xdr:col>
                    <xdr:colOff>142875</xdr:colOff>
                    <xdr:row>17</xdr:row>
                    <xdr:rowOff>66675</xdr:rowOff>
                  </to>
                </anchor>
              </controlPr>
            </control>
          </mc:Choice>
        </mc:AlternateContent>
        <mc:AlternateContent xmlns:mc="http://schemas.openxmlformats.org/markup-compatibility/2006">
          <mc:Choice Requires="x14">
            <control shapeId="2088" r:id="rId24" name="Check Box 40">
              <controlPr defaultSize="0" autoFill="0" autoLine="0" autoPict="0" macro="[0]!GreenHomeOption">
                <anchor moveWithCells="1">
                  <from>
                    <xdr:col>10</xdr:col>
                    <xdr:colOff>352425</xdr:colOff>
                    <xdr:row>10</xdr:row>
                    <xdr:rowOff>85725</xdr:rowOff>
                  </from>
                  <to>
                    <xdr:col>12</xdr:col>
                    <xdr:colOff>180975</xdr:colOff>
                    <xdr:row>12</xdr:row>
                    <xdr:rowOff>76200</xdr:rowOff>
                  </to>
                </anchor>
              </controlPr>
            </control>
          </mc:Choice>
        </mc:AlternateContent>
        <mc:AlternateContent xmlns:mc="http://schemas.openxmlformats.org/markup-compatibility/2006">
          <mc:Choice Requires="x14">
            <control shapeId="2089" r:id="rId25" name="Button 41">
              <controlPr defaultSize="0" print="0" autoFill="0" autoPict="0" macro="[0]!SaveSelection">
                <anchor moveWithCells="1" sizeWithCells="1">
                  <from>
                    <xdr:col>8</xdr:col>
                    <xdr:colOff>438150</xdr:colOff>
                    <xdr:row>15</xdr:row>
                    <xdr:rowOff>28575</xdr:rowOff>
                  </from>
                  <to>
                    <xdr:col>10</xdr:col>
                    <xdr:colOff>381000</xdr:colOff>
                    <xdr:row>17</xdr:row>
                    <xdr:rowOff>66675</xdr:rowOff>
                  </to>
                </anchor>
              </controlPr>
            </control>
          </mc:Choice>
        </mc:AlternateContent>
        <mc:AlternateContent xmlns:mc="http://schemas.openxmlformats.org/markup-compatibility/2006">
          <mc:Choice Requires="x14">
            <control shapeId="2090" r:id="rId26" name="Button 42">
              <controlPr defaultSize="0" print="0" autoFill="0" autoPict="0" macro="[0]!ApplyLastSaved">
                <anchor moveWithCells="1" sizeWithCells="1">
                  <from>
                    <xdr:col>10</xdr:col>
                    <xdr:colOff>419100</xdr:colOff>
                    <xdr:row>15</xdr:row>
                    <xdr:rowOff>28575</xdr:rowOff>
                  </from>
                  <to>
                    <xdr:col>12</xdr:col>
                    <xdr:colOff>200025</xdr:colOff>
                    <xdr:row>17</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V29"/>
  <sheetViews>
    <sheetView workbookViewId="0">
      <selection activeCell="N13" sqref="N13"/>
    </sheetView>
  </sheetViews>
  <sheetFormatPr defaultRowHeight="15" x14ac:dyDescent="0.25"/>
  <cols>
    <col min="1" max="1" width="14" bestFit="1" customWidth="1"/>
    <col min="2" max="2" width="16.28515625" bestFit="1" customWidth="1"/>
    <col min="3" max="3" width="14" customWidth="1"/>
    <col min="4" max="4" width="19.140625" bestFit="1" customWidth="1"/>
    <col min="5" max="5" width="11.7109375" bestFit="1" customWidth="1"/>
    <col min="6" max="6" width="30.5703125" bestFit="1" customWidth="1"/>
    <col min="7" max="7" width="10" bestFit="1" customWidth="1"/>
    <col min="8" max="8" width="10.140625" bestFit="1" customWidth="1"/>
    <col min="9" max="9" width="14.5703125" bestFit="1" customWidth="1"/>
    <col min="10" max="10" width="13.7109375" bestFit="1" customWidth="1"/>
    <col min="11" max="12" width="12.7109375" bestFit="1" customWidth="1"/>
    <col min="14" max="14" width="11.42578125" bestFit="1" customWidth="1"/>
    <col min="16" max="16" width="15.5703125" bestFit="1" customWidth="1"/>
  </cols>
  <sheetData>
    <row r="2" spans="1:22" x14ac:dyDescent="0.25">
      <c r="N2" t="s">
        <v>137</v>
      </c>
    </row>
    <row r="3" spans="1:22" x14ac:dyDescent="0.25">
      <c r="A3" s="14" t="s">
        <v>135</v>
      </c>
      <c r="B3" s="14" t="s">
        <v>136</v>
      </c>
      <c r="D3" s="18" t="s">
        <v>58</v>
      </c>
      <c r="E3" s="18" t="s">
        <v>108</v>
      </c>
      <c r="F3" s="18" t="s">
        <v>95</v>
      </c>
      <c r="G3" s="18" t="s">
        <v>87</v>
      </c>
      <c r="N3" s="18"/>
    </row>
    <row r="4" spans="1:22" x14ac:dyDescent="0.25">
      <c r="A4">
        <v>1</v>
      </c>
      <c r="B4">
        <v>1</v>
      </c>
      <c r="D4" s="14" t="s">
        <v>86</v>
      </c>
      <c r="E4">
        <v>1</v>
      </c>
      <c r="F4" t="str">
        <f>INDEX(DecisionFlow!H29:I33,'Links and calculations'!E4,1)</f>
        <v>Midwest</v>
      </c>
      <c r="G4">
        <f>INDEX(DecisionFlow!H28:I33,MATCH('Links and calculations'!F4,DecisionFlow!H28:H33,0),2)</f>
        <v>1</v>
      </c>
    </row>
    <row r="5" spans="1:22" x14ac:dyDescent="0.25">
      <c r="A5">
        <v>1200</v>
      </c>
      <c r="B5">
        <v>1200</v>
      </c>
      <c r="D5" s="14" t="s">
        <v>98</v>
      </c>
      <c r="E5">
        <v>1200</v>
      </c>
      <c r="F5">
        <f>E5</f>
        <v>1200</v>
      </c>
      <c r="G5">
        <f>F5</f>
        <v>1200</v>
      </c>
    </row>
    <row r="7" spans="1:22" x14ac:dyDescent="0.25">
      <c r="D7" s="18" t="s">
        <v>58</v>
      </c>
      <c r="E7" s="18" t="s">
        <v>108</v>
      </c>
      <c r="F7" s="18" t="s">
        <v>95</v>
      </c>
      <c r="G7" s="18" t="s">
        <v>102</v>
      </c>
      <c r="H7" s="18" t="s">
        <v>100</v>
      </c>
      <c r="I7" s="18" t="s">
        <v>103</v>
      </c>
      <c r="J7" s="18" t="s">
        <v>104</v>
      </c>
      <c r="K7" s="18" t="s">
        <v>99</v>
      </c>
      <c r="L7" s="18" t="s">
        <v>101</v>
      </c>
      <c r="N7" s="18"/>
    </row>
    <row r="8" spans="1:22" x14ac:dyDescent="0.25">
      <c r="A8">
        <v>1</v>
      </c>
      <c r="B8">
        <v>5</v>
      </c>
      <c r="D8" s="14" t="s">
        <v>93</v>
      </c>
      <c r="E8">
        <v>1</v>
      </c>
      <c r="F8" t="str">
        <f>INDEX(Foundations,'Links and calculations'!E8,1)</f>
        <v>Piers</v>
      </c>
      <c r="G8" s="20">
        <f>INDEX(DecisionFlow!B3:C8,MATCH('Links and calculations'!F8,DecisionFlow!B3:B8,0),2)</f>
        <v>0.6</v>
      </c>
      <c r="H8" s="20">
        <v>0</v>
      </c>
      <c r="I8" s="20">
        <f t="shared" ref="I8:J10" si="0">G8*$G$4</f>
        <v>0.6</v>
      </c>
      <c r="J8" s="20">
        <f t="shared" si="0"/>
        <v>0</v>
      </c>
      <c r="K8" s="20">
        <f>I8*$G$5</f>
        <v>720</v>
      </c>
      <c r="L8" s="20">
        <f>K8+J8</f>
        <v>720</v>
      </c>
      <c r="P8" s="14"/>
      <c r="Q8" s="13"/>
      <c r="R8" s="13"/>
      <c r="S8" s="13"/>
      <c r="T8" s="13"/>
      <c r="U8" s="13"/>
      <c r="V8" s="13"/>
    </row>
    <row r="9" spans="1:22" x14ac:dyDescent="0.25">
      <c r="A9">
        <v>1</v>
      </c>
      <c r="B9">
        <v>3</v>
      </c>
      <c r="D9" s="14" t="s">
        <v>9</v>
      </c>
      <c r="E9">
        <v>1</v>
      </c>
      <c r="F9" t="str">
        <f>INDEX(Walls,E9,1)</f>
        <v>Loadbearing (2x4 framed walls)</v>
      </c>
      <c r="G9" s="20">
        <f>INDEX(DecisionFlow!I4:I6,E9,1)</f>
        <v>5</v>
      </c>
      <c r="H9" s="20">
        <v>0</v>
      </c>
      <c r="I9" s="20">
        <f t="shared" si="0"/>
        <v>5</v>
      </c>
      <c r="J9" s="20">
        <f t="shared" si="0"/>
        <v>0</v>
      </c>
      <c r="K9" s="20">
        <f>I9*$G$5</f>
        <v>6000</v>
      </c>
      <c r="L9" s="20">
        <f>K9+J9</f>
        <v>6000</v>
      </c>
      <c r="P9" s="29"/>
      <c r="Q9" s="29"/>
      <c r="R9" s="29"/>
      <c r="S9" s="29"/>
      <c r="T9" s="29"/>
      <c r="U9" s="29"/>
      <c r="V9" s="29"/>
    </row>
    <row r="10" spans="1:22" x14ac:dyDescent="0.25">
      <c r="A10">
        <v>1</v>
      </c>
      <c r="B10">
        <v>5</v>
      </c>
      <c r="D10" s="14" t="s">
        <v>105</v>
      </c>
      <c r="E10">
        <v>1</v>
      </c>
      <c r="F10" t="str">
        <f>INDEX(Roof_design,'Links and calculations'!E10,1)</f>
        <v>Gable (A frame)</v>
      </c>
      <c r="G10" s="20">
        <f>INDEX(DecisionFlow!N4:N10,'Links and calculations'!E10,1)</f>
        <v>1.5</v>
      </c>
      <c r="H10" s="20">
        <v>0</v>
      </c>
      <c r="I10" s="20">
        <f t="shared" si="0"/>
        <v>1.5</v>
      </c>
      <c r="J10" s="20">
        <f t="shared" si="0"/>
        <v>0</v>
      </c>
      <c r="K10" s="20">
        <f>I10*$G$5</f>
        <v>1800</v>
      </c>
      <c r="L10" s="20">
        <f>K10+J10</f>
        <v>1800</v>
      </c>
      <c r="P10" s="29"/>
      <c r="Q10" s="29"/>
      <c r="R10" s="29"/>
      <c r="S10" s="29"/>
      <c r="T10" s="29"/>
      <c r="U10" s="29"/>
      <c r="V10" s="29"/>
    </row>
    <row r="11" spans="1:22" x14ac:dyDescent="0.25">
      <c r="A11">
        <v>1</v>
      </c>
      <c r="B11">
        <v>3</v>
      </c>
      <c r="D11" s="14" t="s">
        <v>107</v>
      </c>
      <c r="E11">
        <v>1</v>
      </c>
      <c r="F11" t="str">
        <f>INDEX(DecisionFlow!E14:K18,'Links and calculations'!E11,'Links and calculations'!E10)</f>
        <v>Thatch</v>
      </c>
      <c r="G11">
        <v>0</v>
      </c>
      <c r="H11" s="20">
        <f>INDEX(DecisionFlow!B13:C17,MATCH('Links and calculations'!F11,DecisionFlow!B13:B17,0),2)</f>
        <v>30000</v>
      </c>
      <c r="I11" s="20">
        <f t="shared" ref="I11:I21" si="1">G11*$G$4</f>
        <v>0</v>
      </c>
      <c r="J11" s="20">
        <f t="shared" ref="J11:J27" si="2">H11*$G$4</f>
        <v>30000</v>
      </c>
      <c r="K11" s="20">
        <f t="shared" ref="K11:K21" si="3">I11*$G$5</f>
        <v>0</v>
      </c>
      <c r="L11" s="20">
        <f t="shared" ref="L11:L18" si="4">K11+J11</f>
        <v>30000</v>
      </c>
      <c r="P11" s="29"/>
      <c r="Q11" s="29"/>
      <c r="R11" s="29"/>
      <c r="S11" s="29"/>
      <c r="T11" s="29"/>
      <c r="U11" s="16"/>
      <c r="V11" s="29"/>
    </row>
    <row r="12" spans="1:22" x14ac:dyDescent="0.25">
      <c r="A12" t="b">
        <v>0</v>
      </c>
      <c r="B12" t="b">
        <v>0</v>
      </c>
      <c r="D12" s="14" t="s">
        <v>79</v>
      </c>
      <c r="E12" t="b">
        <v>0</v>
      </c>
      <c r="F12" t="str">
        <f>IF(E12=FALSE,"No","Yes")</f>
        <v>No</v>
      </c>
      <c r="G12">
        <v>0</v>
      </c>
      <c r="H12" s="20">
        <v>1500</v>
      </c>
      <c r="I12" s="20">
        <f t="shared" si="1"/>
        <v>0</v>
      </c>
      <c r="J12" s="20">
        <f t="shared" si="2"/>
        <v>1500</v>
      </c>
      <c r="K12" s="20">
        <f t="shared" si="3"/>
        <v>0</v>
      </c>
      <c r="L12" s="20">
        <f>IF(F12="Yes",K12+J12,0)</f>
        <v>0</v>
      </c>
      <c r="P12" s="29"/>
      <c r="Q12" s="29"/>
      <c r="R12" s="29"/>
      <c r="S12" s="29"/>
      <c r="T12" s="16"/>
      <c r="U12" s="16"/>
      <c r="V12" s="29"/>
    </row>
    <row r="13" spans="1:22" x14ac:dyDescent="0.25">
      <c r="A13">
        <v>1</v>
      </c>
      <c r="B13">
        <v>2</v>
      </c>
      <c r="D13" s="14" t="s">
        <v>109</v>
      </c>
      <c r="E13">
        <v>1</v>
      </c>
      <c r="F13" t="str">
        <f>INDEX(DecisionFlow!M13:N15,IF('Links and calculations'!F12="Yes",3,'Links and calculations'!E13),1)</f>
        <v>City</v>
      </c>
      <c r="G13">
        <v>0</v>
      </c>
      <c r="H13" s="20">
        <f>INDEX(DecisionFlow!M13:N15,MATCH('Links and calculations'!F13,DecisionFlow!M13:M15,0),2)</f>
        <v>4356</v>
      </c>
      <c r="I13" s="20">
        <f t="shared" si="1"/>
        <v>0</v>
      </c>
      <c r="J13" s="20">
        <f t="shared" si="2"/>
        <v>4356</v>
      </c>
      <c r="K13" s="20">
        <f t="shared" si="3"/>
        <v>0</v>
      </c>
      <c r="L13" s="20">
        <f t="shared" si="4"/>
        <v>4356</v>
      </c>
      <c r="P13" s="29"/>
      <c r="Q13" s="29"/>
      <c r="R13" s="16"/>
      <c r="S13" s="16"/>
      <c r="T13" s="16"/>
      <c r="U13" s="29"/>
      <c r="V13" s="16"/>
    </row>
    <row r="14" spans="1:22" x14ac:dyDescent="0.25">
      <c r="A14" t="b">
        <v>0</v>
      </c>
      <c r="B14" t="b">
        <v>0</v>
      </c>
      <c r="D14" s="14" t="s">
        <v>39</v>
      </c>
      <c r="E14" t="b">
        <v>0</v>
      </c>
      <c r="F14" t="str">
        <f>IF(E14=FALSE,"No","Yes")</f>
        <v>No</v>
      </c>
      <c r="G14">
        <v>0</v>
      </c>
      <c r="H14" s="3">
        <f>DecisionFlow!C21</f>
        <v>1985</v>
      </c>
      <c r="I14" s="20">
        <f t="shared" si="1"/>
        <v>0</v>
      </c>
      <c r="J14" s="20">
        <f t="shared" si="2"/>
        <v>1985</v>
      </c>
      <c r="K14" s="20">
        <f t="shared" si="3"/>
        <v>0</v>
      </c>
      <c r="L14" s="20">
        <f t="shared" si="4"/>
        <v>1985</v>
      </c>
    </row>
    <row r="15" spans="1:22" x14ac:dyDescent="0.25">
      <c r="A15" t="b">
        <v>0</v>
      </c>
      <c r="B15" t="b">
        <v>0</v>
      </c>
      <c r="D15" s="14" t="s">
        <v>111</v>
      </c>
      <c r="E15" t="b">
        <v>0</v>
      </c>
      <c r="F15" t="str">
        <f t="shared" ref="F15:F18" si="5">IF(E15=FALSE,"No","Yes")</f>
        <v>No</v>
      </c>
      <c r="G15">
        <v>0</v>
      </c>
      <c r="H15" s="3">
        <f>DecisionFlow!C22</f>
        <v>5835</v>
      </c>
      <c r="I15" s="20">
        <f t="shared" si="1"/>
        <v>0</v>
      </c>
      <c r="J15" s="20">
        <f t="shared" si="2"/>
        <v>5835</v>
      </c>
      <c r="K15" s="20">
        <f t="shared" si="3"/>
        <v>0</v>
      </c>
      <c r="L15" s="20">
        <f t="shared" si="4"/>
        <v>5835</v>
      </c>
    </row>
    <row r="16" spans="1:22" x14ac:dyDescent="0.25">
      <c r="A16" t="b">
        <v>0</v>
      </c>
      <c r="B16" t="b">
        <v>1</v>
      </c>
      <c r="D16" s="14" t="s">
        <v>41</v>
      </c>
      <c r="E16" t="b">
        <v>0</v>
      </c>
      <c r="F16" t="str">
        <f t="shared" si="5"/>
        <v>No</v>
      </c>
      <c r="G16">
        <v>0</v>
      </c>
      <c r="H16" s="3">
        <f>DecisionFlow!C23</f>
        <v>4000</v>
      </c>
      <c r="I16" s="20">
        <f t="shared" si="1"/>
        <v>0</v>
      </c>
      <c r="J16" s="20">
        <f t="shared" si="2"/>
        <v>4000</v>
      </c>
      <c r="K16" s="20">
        <f t="shared" si="3"/>
        <v>0</v>
      </c>
      <c r="L16" s="20">
        <f t="shared" si="4"/>
        <v>4000</v>
      </c>
    </row>
    <row r="17" spans="1:12" x14ac:dyDescent="0.25">
      <c r="A17" t="b">
        <v>0</v>
      </c>
      <c r="B17" t="b">
        <v>0</v>
      </c>
      <c r="D17" s="14" t="s">
        <v>42</v>
      </c>
      <c r="E17" t="b">
        <v>0</v>
      </c>
      <c r="F17" t="str">
        <f t="shared" si="5"/>
        <v>No</v>
      </c>
      <c r="G17">
        <v>0</v>
      </c>
      <c r="H17" s="3">
        <f>DecisionFlow!C24</f>
        <v>2192</v>
      </c>
      <c r="I17" s="20">
        <f t="shared" si="1"/>
        <v>0</v>
      </c>
      <c r="J17" s="20">
        <f t="shared" si="2"/>
        <v>2192</v>
      </c>
      <c r="K17" s="20">
        <f t="shared" si="3"/>
        <v>0</v>
      </c>
      <c r="L17" s="20">
        <f t="shared" si="4"/>
        <v>2192</v>
      </c>
    </row>
    <row r="18" spans="1:12" x14ac:dyDescent="0.25">
      <c r="A18" t="b">
        <v>0</v>
      </c>
      <c r="B18" t="b">
        <v>0</v>
      </c>
      <c r="D18" s="14" t="s">
        <v>75</v>
      </c>
      <c r="E18" t="b">
        <v>0</v>
      </c>
      <c r="F18" t="str">
        <f t="shared" si="5"/>
        <v>No</v>
      </c>
      <c r="G18" s="3">
        <f>DecisionFlow!D25</f>
        <v>9</v>
      </c>
      <c r="H18">
        <v>0</v>
      </c>
      <c r="I18" s="20">
        <f t="shared" si="1"/>
        <v>9</v>
      </c>
      <c r="J18" s="20">
        <f t="shared" si="2"/>
        <v>0</v>
      </c>
      <c r="K18" s="20">
        <f t="shared" si="3"/>
        <v>10800</v>
      </c>
      <c r="L18" s="20">
        <f t="shared" si="4"/>
        <v>10800</v>
      </c>
    </row>
    <row r="19" spans="1:12" x14ac:dyDescent="0.25">
      <c r="D19" s="14" t="s">
        <v>110</v>
      </c>
      <c r="I19" s="20"/>
      <c r="J19" s="20"/>
      <c r="K19" s="20"/>
      <c r="L19" s="20">
        <f>SUMIF(F14:F18,"Yes",L14:L18)</f>
        <v>0</v>
      </c>
    </row>
    <row r="20" spans="1:12" x14ac:dyDescent="0.25">
      <c r="A20">
        <v>1</v>
      </c>
      <c r="B20">
        <v>2</v>
      </c>
      <c r="D20" s="14" t="s">
        <v>112</v>
      </c>
      <c r="E20">
        <v>1</v>
      </c>
      <c r="F20" t="str">
        <f>INDEX(DecisionFlow!H21:I22,IF(E9&lt;2,1,E20),1)</f>
        <v>Standard (R11 Walls, R19 Ceiling)</v>
      </c>
      <c r="G20" s="20">
        <f>INDEX(DecisionFlow!H21:I22,MATCH(F20,Insulation_Options,0),2)</f>
        <v>8</v>
      </c>
      <c r="H20" s="20">
        <v>0</v>
      </c>
      <c r="I20" s="20">
        <f t="shared" si="1"/>
        <v>8</v>
      </c>
      <c r="J20" s="20">
        <f t="shared" si="2"/>
        <v>0</v>
      </c>
      <c r="K20" s="20">
        <f t="shared" si="3"/>
        <v>9600</v>
      </c>
      <c r="L20" s="20">
        <f>K20+J20</f>
        <v>9600</v>
      </c>
    </row>
    <row r="21" spans="1:12" x14ac:dyDescent="0.25">
      <c r="A21">
        <v>4</v>
      </c>
      <c r="B21">
        <v>1</v>
      </c>
      <c r="D21" s="14" t="s">
        <v>114</v>
      </c>
      <c r="E21">
        <v>4</v>
      </c>
      <c r="F21" t="str">
        <f>INDEX(Electricity,'Links and calculations'!E21,1)</f>
        <v>Grid (Purchased)</v>
      </c>
      <c r="G21" s="20">
        <f>INDEX(DecisionFlow!M21:O24,'Links and calculations'!E21,3)</f>
        <v>0</v>
      </c>
      <c r="H21" s="20">
        <f>INDEX(DecisionFlow!M21:O24,'Links and calculations'!E21,2)</f>
        <v>1800</v>
      </c>
      <c r="I21" s="20">
        <f t="shared" si="1"/>
        <v>0</v>
      </c>
      <c r="J21" s="20">
        <f t="shared" si="2"/>
        <v>1800</v>
      </c>
      <c r="K21" s="20">
        <f t="shared" si="3"/>
        <v>0</v>
      </c>
      <c r="L21" s="20">
        <f>K21+J21</f>
        <v>1800</v>
      </c>
    </row>
    <row r="22" spans="1:12" x14ac:dyDescent="0.25">
      <c r="A22">
        <v>1</v>
      </c>
      <c r="B22">
        <v>4</v>
      </c>
      <c r="D22" s="14" t="s">
        <v>125</v>
      </c>
      <c r="E22">
        <v>1</v>
      </c>
      <c r="G22">
        <f>IF(DecisionFlow!T2="NotSP",(E22-1)*1000,E22*1000)</f>
        <v>0</v>
      </c>
      <c r="H22">
        <v>0</v>
      </c>
      <c r="I22" s="20">
        <f>G22*$G$4</f>
        <v>0</v>
      </c>
      <c r="J22" s="20">
        <f t="shared" si="2"/>
        <v>0</v>
      </c>
      <c r="K22" s="20">
        <f>G22*E22</f>
        <v>0</v>
      </c>
      <c r="L22" s="20">
        <f>K22+J22</f>
        <v>0</v>
      </c>
    </row>
    <row r="23" spans="1:12" x14ac:dyDescent="0.25">
      <c r="A23" t="b">
        <v>1</v>
      </c>
      <c r="B23" t="b">
        <v>1</v>
      </c>
      <c r="D23" s="13" t="s">
        <v>84</v>
      </c>
      <c r="E23" t="b">
        <v>1</v>
      </c>
      <c r="F23" t="str">
        <f>IF(E23=FALSE,"No","Yes")</f>
        <v>Yes</v>
      </c>
      <c r="G23" s="22">
        <v>30</v>
      </c>
      <c r="H23">
        <v>0</v>
      </c>
      <c r="I23" s="20">
        <f t="shared" ref="I23:I27" si="6">G23*$G$4</f>
        <v>30</v>
      </c>
      <c r="J23" s="20">
        <f t="shared" si="2"/>
        <v>0</v>
      </c>
      <c r="K23" s="20">
        <f>I23*$G$5</f>
        <v>36000</v>
      </c>
      <c r="L23" s="20">
        <f t="shared" ref="L23:L27" si="7">K23+J23</f>
        <v>36000</v>
      </c>
    </row>
    <row r="24" spans="1:12" x14ac:dyDescent="0.25">
      <c r="A24" t="b">
        <v>1</v>
      </c>
      <c r="B24" t="b">
        <v>1</v>
      </c>
      <c r="D24" s="13" t="s">
        <v>83</v>
      </c>
      <c r="E24" t="b">
        <v>1</v>
      </c>
      <c r="F24" t="str">
        <f>IF(E24=FALSE,"No","Yes")</f>
        <v>Yes</v>
      </c>
      <c r="G24" s="22">
        <v>4.2</v>
      </c>
      <c r="H24">
        <v>0</v>
      </c>
      <c r="I24" s="20">
        <f t="shared" si="6"/>
        <v>4.2</v>
      </c>
      <c r="J24" s="20">
        <f t="shared" si="2"/>
        <v>0</v>
      </c>
      <c r="K24" s="20">
        <f t="shared" ref="K24:K27" si="8">I24*$G$5</f>
        <v>5040</v>
      </c>
      <c r="L24" s="20">
        <f t="shared" si="7"/>
        <v>5040</v>
      </c>
    </row>
    <row r="25" spans="1:12" x14ac:dyDescent="0.25">
      <c r="D25" s="13" t="s">
        <v>71</v>
      </c>
      <c r="F25" t="s">
        <v>129</v>
      </c>
      <c r="G25" s="22">
        <v>0.5</v>
      </c>
      <c r="H25">
        <v>0</v>
      </c>
      <c r="I25" s="20">
        <f t="shared" si="6"/>
        <v>0.5</v>
      </c>
      <c r="J25" s="20">
        <f t="shared" si="2"/>
        <v>0</v>
      </c>
      <c r="K25" s="20">
        <f t="shared" si="8"/>
        <v>600</v>
      </c>
      <c r="L25" s="20">
        <f t="shared" si="7"/>
        <v>600</v>
      </c>
    </row>
    <row r="26" spans="1:12" x14ac:dyDescent="0.25">
      <c r="A26" t="b">
        <v>1</v>
      </c>
      <c r="B26" t="b">
        <v>1</v>
      </c>
      <c r="D26" s="13" t="s">
        <v>82</v>
      </c>
      <c r="E26" t="b">
        <v>1</v>
      </c>
      <c r="F26" t="str">
        <f t="shared" ref="F26" si="9">IF(E26=FALSE,"No","Yes")</f>
        <v>Yes</v>
      </c>
      <c r="G26" s="22">
        <v>1</v>
      </c>
      <c r="H26">
        <v>0</v>
      </c>
      <c r="I26" s="20">
        <f t="shared" si="6"/>
        <v>1</v>
      </c>
      <c r="J26" s="20">
        <f t="shared" si="2"/>
        <v>0</v>
      </c>
      <c r="K26" s="20">
        <f t="shared" si="8"/>
        <v>1200</v>
      </c>
      <c r="L26" s="20">
        <f t="shared" si="7"/>
        <v>1200</v>
      </c>
    </row>
    <row r="27" spans="1:12" x14ac:dyDescent="0.25">
      <c r="D27" s="13" t="s">
        <v>74</v>
      </c>
      <c r="F27" t="s">
        <v>129</v>
      </c>
      <c r="G27" s="22">
        <v>0.9</v>
      </c>
      <c r="H27">
        <v>0</v>
      </c>
      <c r="I27" s="20">
        <f t="shared" si="6"/>
        <v>0.9</v>
      </c>
      <c r="J27" s="20">
        <f t="shared" si="2"/>
        <v>0</v>
      </c>
      <c r="K27" s="20">
        <f t="shared" si="8"/>
        <v>1080</v>
      </c>
      <c r="L27" s="20">
        <f t="shared" si="7"/>
        <v>1080</v>
      </c>
    </row>
    <row r="28" spans="1:12" x14ac:dyDescent="0.25">
      <c r="D28" s="13" t="s">
        <v>128</v>
      </c>
      <c r="L28" s="20">
        <f>SUMIF(F23:F27,"Yes",L23:L27)</f>
        <v>43920</v>
      </c>
    </row>
    <row r="29" spans="1:12" x14ac:dyDescent="0.25">
      <c r="A29" t="b">
        <v>0</v>
      </c>
      <c r="B29" t="b">
        <v>1</v>
      </c>
      <c r="D29" s="13" t="s">
        <v>131</v>
      </c>
      <c r="E29" t="b">
        <v>0</v>
      </c>
      <c r="F29" t="str">
        <f>IF(E29=FALSE,"No","Yes")</f>
        <v>No</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33"/>
  <sheetViews>
    <sheetView topLeftCell="E1" workbookViewId="0">
      <selection activeCell="H30" sqref="H30"/>
    </sheetView>
  </sheetViews>
  <sheetFormatPr defaultRowHeight="15" x14ac:dyDescent="0.25"/>
  <cols>
    <col min="2" max="2" width="32.140625" bestFit="1" customWidth="1"/>
    <col min="3" max="4" width="12.7109375" bestFit="1" customWidth="1"/>
    <col min="5" max="7" width="15.5703125" bestFit="1" customWidth="1"/>
    <col min="8" max="8" width="30.7109375" bestFit="1" customWidth="1"/>
    <col min="9" max="11" width="15.5703125" bestFit="1" customWidth="1"/>
    <col min="12" max="12" width="2" bestFit="1" customWidth="1"/>
    <col min="13" max="13" width="35.7109375" bestFit="1" customWidth="1"/>
    <col min="14" max="14" width="20.28515625" bestFit="1" customWidth="1"/>
    <col min="15" max="15" width="12.7109375" bestFit="1" customWidth="1"/>
    <col min="16" max="16" width="10.5703125" bestFit="1" customWidth="1"/>
    <col min="17" max="17" width="11" bestFit="1" customWidth="1"/>
    <col min="19" max="19" width="10.7109375" customWidth="1"/>
    <col min="20" max="20" width="12.5703125" customWidth="1"/>
    <col min="21" max="21" width="6.42578125" bestFit="1" customWidth="1"/>
  </cols>
  <sheetData>
    <row r="2" spans="1:21" x14ac:dyDescent="0.25">
      <c r="B2" s="6"/>
      <c r="C2" s="6"/>
      <c r="D2" s="6"/>
      <c r="P2" t="str">
        <f>INDEX(P3:Q3,,IF('Links and calculations'!E9&lt;2,1,2))</f>
        <v>Standard</v>
      </c>
      <c r="T2" t="str">
        <f>INDEX(T3:U3,,IF('Links and calculations'!E21=1,1,2))</f>
        <v>NotSP</v>
      </c>
    </row>
    <row r="3" spans="1:21" x14ac:dyDescent="0.25">
      <c r="A3" s="17">
        <v>1</v>
      </c>
      <c r="B3" s="14" t="s">
        <v>2</v>
      </c>
      <c r="C3" s="14" t="s">
        <v>78</v>
      </c>
      <c r="D3" s="14"/>
      <c r="H3" s="14" t="s">
        <v>9</v>
      </c>
      <c r="I3" s="14" t="s">
        <v>78</v>
      </c>
      <c r="M3" s="14" t="s">
        <v>13</v>
      </c>
      <c r="N3" s="14" t="s">
        <v>78</v>
      </c>
      <c r="P3" s="14" t="s">
        <v>123</v>
      </c>
      <c r="Q3" s="14" t="s">
        <v>124</v>
      </c>
      <c r="T3" s="14" t="s">
        <v>126</v>
      </c>
      <c r="U3" s="14" t="s">
        <v>127</v>
      </c>
    </row>
    <row r="4" spans="1:21" x14ac:dyDescent="0.25">
      <c r="A4" s="17"/>
      <c r="B4" s="14" t="s">
        <v>4</v>
      </c>
      <c r="C4" s="2">
        <v>0.6</v>
      </c>
      <c r="D4" s="2"/>
      <c r="H4" s="14" t="s">
        <v>10</v>
      </c>
      <c r="I4" s="3">
        <v>5</v>
      </c>
      <c r="M4" s="14" t="s">
        <v>14</v>
      </c>
      <c r="N4" s="2">
        <v>1.5</v>
      </c>
      <c r="P4" s="29" t="s">
        <v>44</v>
      </c>
      <c r="Q4" s="29" t="s">
        <v>44</v>
      </c>
      <c r="T4">
        <v>1</v>
      </c>
      <c r="U4">
        <v>0</v>
      </c>
    </row>
    <row r="5" spans="1:21" x14ac:dyDescent="0.25">
      <c r="A5" s="17"/>
      <c r="B5" s="14" t="s">
        <v>5</v>
      </c>
      <c r="C5" s="3">
        <v>1</v>
      </c>
      <c r="D5" s="3"/>
      <c r="E5" t="s">
        <v>77</v>
      </c>
      <c r="F5" t="s">
        <v>77</v>
      </c>
      <c r="G5" t="s">
        <v>77</v>
      </c>
      <c r="H5" s="14" t="s">
        <v>11</v>
      </c>
      <c r="I5" s="3">
        <v>15</v>
      </c>
      <c r="J5" t="s">
        <v>77</v>
      </c>
      <c r="K5" t="s">
        <v>77</v>
      </c>
      <c r="L5" t="s">
        <v>77</v>
      </c>
      <c r="M5" s="14" t="s">
        <v>15</v>
      </c>
      <c r="N5" s="2">
        <v>1</v>
      </c>
      <c r="Q5" s="29" t="s">
        <v>46</v>
      </c>
      <c r="T5">
        <v>2</v>
      </c>
      <c r="U5">
        <v>1</v>
      </c>
    </row>
    <row r="6" spans="1:21" x14ac:dyDescent="0.25">
      <c r="A6" s="17"/>
      <c r="B6" s="14" t="s">
        <v>6</v>
      </c>
      <c r="C6" s="3">
        <v>3</v>
      </c>
      <c r="D6" s="3"/>
      <c r="H6" s="14" t="s">
        <v>12</v>
      </c>
      <c r="I6" s="3">
        <v>25</v>
      </c>
      <c r="M6" s="14" t="s">
        <v>16</v>
      </c>
      <c r="N6" s="2">
        <v>0.2</v>
      </c>
      <c r="T6">
        <v>3</v>
      </c>
      <c r="U6">
        <v>2</v>
      </c>
    </row>
    <row r="7" spans="1:21" x14ac:dyDescent="0.25">
      <c r="A7" s="17"/>
      <c r="B7" s="14" t="s">
        <v>7</v>
      </c>
      <c r="C7" s="3">
        <v>15</v>
      </c>
      <c r="D7" s="3"/>
      <c r="M7" s="14" t="s">
        <v>17</v>
      </c>
      <c r="N7" s="2">
        <v>0.8</v>
      </c>
      <c r="T7">
        <v>4</v>
      </c>
      <c r="U7">
        <v>3</v>
      </c>
    </row>
    <row r="8" spans="1:21" x14ac:dyDescent="0.25">
      <c r="A8" s="17"/>
      <c r="B8" s="14" t="s">
        <v>8</v>
      </c>
      <c r="C8" s="3">
        <v>25</v>
      </c>
      <c r="D8" s="3"/>
      <c r="M8" s="14" t="s">
        <v>18</v>
      </c>
      <c r="N8" s="2">
        <v>1.3</v>
      </c>
      <c r="T8">
        <v>5</v>
      </c>
      <c r="U8">
        <v>4</v>
      </c>
    </row>
    <row r="9" spans="1:21" x14ac:dyDescent="0.25">
      <c r="A9" s="17"/>
      <c r="M9" s="14" t="s">
        <v>19</v>
      </c>
      <c r="N9" s="2">
        <v>1.4</v>
      </c>
      <c r="T9">
        <v>6</v>
      </c>
      <c r="U9">
        <v>5</v>
      </c>
    </row>
    <row r="10" spans="1:21" x14ac:dyDescent="0.25">
      <c r="A10" s="17"/>
      <c r="M10" s="14" t="s">
        <v>20</v>
      </c>
      <c r="N10" s="2">
        <v>1.6</v>
      </c>
      <c r="T10">
        <v>7</v>
      </c>
      <c r="U10">
        <v>6</v>
      </c>
    </row>
    <row r="11" spans="1:21" x14ac:dyDescent="0.25">
      <c r="A11" s="17"/>
      <c r="P11" t="str">
        <f>INDEX(P12:Q12,,IF('Links and calculations'!F12="Yes",2,1))</f>
        <v>Water</v>
      </c>
      <c r="T11">
        <v>8</v>
      </c>
      <c r="U11">
        <v>7</v>
      </c>
    </row>
    <row r="12" spans="1:21" x14ac:dyDescent="0.25">
      <c r="A12" s="17">
        <v>2</v>
      </c>
      <c r="B12" s="13" t="s">
        <v>24</v>
      </c>
      <c r="C12" s="13" t="s">
        <v>22</v>
      </c>
      <c r="D12" s="13"/>
      <c r="E12" t="str">
        <f>INDEX(DecisionFlow!E13:K13,,'Links and calculations'!E10)</f>
        <v>Gable_list</v>
      </c>
      <c r="F12" s="13"/>
      <c r="G12" s="13"/>
      <c r="H12" s="13"/>
      <c r="I12" s="13"/>
      <c r="J12" s="13"/>
      <c r="K12" s="13"/>
      <c r="M12" s="13" t="s">
        <v>32</v>
      </c>
      <c r="N12" s="14" t="s">
        <v>81</v>
      </c>
      <c r="P12" s="14" t="s">
        <v>32</v>
      </c>
      <c r="Q12" s="14" t="s">
        <v>122</v>
      </c>
      <c r="T12">
        <v>9</v>
      </c>
      <c r="U12">
        <v>8</v>
      </c>
    </row>
    <row r="13" spans="1:21" x14ac:dyDescent="0.25">
      <c r="B13" s="13" t="s">
        <v>25</v>
      </c>
      <c r="C13" s="7">
        <v>30000</v>
      </c>
      <c r="D13" s="7"/>
      <c r="E13" s="14" t="s">
        <v>121</v>
      </c>
      <c r="F13" s="14" t="s">
        <v>115</v>
      </c>
      <c r="G13" s="14" t="s">
        <v>116</v>
      </c>
      <c r="H13" s="14" t="s">
        <v>117</v>
      </c>
      <c r="I13" s="14" t="s">
        <v>118</v>
      </c>
      <c r="J13" s="14" t="s">
        <v>119</v>
      </c>
      <c r="K13" s="14" t="s">
        <v>120</v>
      </c>
      <c r="M13" s="13" t="s">
        <v>33</v>
      </c>
      <c r="N13" s="7">
        <v>4356</v>
      </c>
      <c r="P13" s="29" t="s">
        <v>33</v>
      </c>
      <c r="Q13" t="s">
        <v>35</v>
      </c>
      <c r="T13">
        <v>10</v>
      </c>
      <c r="U13">
        <v>9</v>
      </c>
    </row>
    <row r="14" spans="1:21" x14ac:dyDescent="0.25">
      <c r="B14" s="13" t="s">
        <v>27</v>
      </c>
      <c r="C14" s="7">
        <v>8000</v>
      </c>
      <c r="D14" s="7"/>
      <c r="E14" s="29" t="s">
        <v>25</v>
      </c>
      <c r="F14" s="29" t="s">
        <v>25</v>
      </c>
      <c r="G14" s="29" t="s">
        <v>27</v>
      </c>
      <c r="H14" s="29" t="s">
        <v>25</v>
      </c>
      <c r="I14" s="29" t="s">
        <v>29</v>
      </c>
      <c r="J14" s="29" t="s">
        <v>29</v>
      </c>
      <c r="K14" s="29" t="s">
        <v>25</v>
      </c>
      <c r="M14" s="13" t="s">
        <v>34</v>
      </c>
      <c r="N14" s="7">
        <v>6121</v>
      </c>
      <c r="P14" s="29" t="s">
        <v>34</v>
      </c>
      <c r="U14">
        <v>10</v>
      </c>
    </row>
    <row r="15" spans="1:21" x14ac:dyDescent="0.25">
      <c r="B15" s="13" t="s">
        <v>29</v>
      </c>
      <c r="C15" s="7">
        <v>25000</v>
      </c>
      <c r="D15" s="7"/>
      <c r="E15" s="29" t="s">
        <v>27</v>
      </c>
      <c r="F15" s="29" t="s">
        <v>27</v>
      </c>
      <c r="G15" s="29" t="s">
        <v>29</v>
      </c>
      <c r="H15" s="29" t="s">
        <v>27</v>
      </c>
      <c r="I15" s="29" t="s">
        <v>30</v>
      </c>
      <c r="J15" s="29" t="s">
        <v>30</v>
      </c>
      <c r="K15" s="29" t="s">
        <v>29</v>
      </c>
      <c r="L15" t="s">
        <v>77</v>
      </c>
      <c r="M15" s="13" t="s">
        <v>35</v>
      </c>
      <c r="N15" s="7">
        <v>1223</v>
      </c>
      <c r="P15" s="29" t="s">
        <v>35</v>
      </c>
    </row>
    <row r="16" spans="1:21" x14ac:dyDescent="0.25">
      <c r="B16" s="13" t="s">
        <v>30</v>
      </c>
      <c r="C16" s="7">
        <v>4000</v>
      </c>
      <c r="D16" s="7"/>
      <c r="E16" s="29" t="s">
        <v>29</v>
      </c>
      <c r="F16" s="29" t="s">
        <v>29</v>
      </c>
      <c r="G16" s="29" t="s">
        <v>30</v>
      </c>
      <c r="H16" s="29" t="s">
        <v>30</v>
      </c>
      <c r="I16" s="29" t="s">
        <v>31</v>
      </c>
      <c r="J16" s="16"/>
      <c r="K16" s="29" t="s">
        <v>30</v>
      </c>
      <c r="M16" s="13" t="s">
        <v>79</v>
      </c>
      <c r="N16" s="19">
        <v>1500</v>
      </c>
    </row>
    <row r="17" spans="1:15" x14ac:dyDescent="0.25">
      <c r="B17" s="13" t="s">
        <v>31</v>
      </c>
      <c r="C17" s="7">
        <v>10000</v>
      </c>
      <c r="D17" s="7"/>
      <c r="E17" s="29" t="s">
        <v>30</v>
      </c>
      <c r="F17" s="29" t="s">
        <v>30</v>
      </c>
      <c r="G17" s="29" t="s">
        <v>31</v>
      </c>
      <c r="H17" s="29" t="s">
        <v>31</v>
      </c>
      <c r="I17" s="16"/>
      <c r="J17" s="16"/>
      <c r="K17" s="29" t="s">
        <v>31</v>
      </c>
    </row>
    <row r="18" spans="1:15" x14ac:dyDescent="0.25">
      <c r="E18" s="29" t="s">
        <v>31</v>
      </c>
      <c r="F18" s="29" t="s">
        <v>31</v>
      </c>
      <c r="G18" s="16"/>
      <c r="H18" s="16"/>
      <c r="I18" s="16"/>
      <c r="J18" s="29"/>
      <c r="K18" s="16"/>
    </row>
    <row r="20" spans="1:15" x14ac:dyDescent="0.25">
      <c r="A20" s="17">
        <v>3</v>
      </c>
      <c r="B20" s="13" t="s">
        <v>94</v>
      </c>
      <c r="C20" s="13" t="s">
        <v>81</v>
      </c>
      <c r="D20" s="14" t="s">
        <v>78</v>
      </c>
      <c r="H20" s="13" t="s">
        <v>43</v>
      </c>
      <c r="I20" s="14" t="s">
        <v>78</v>
      </c>
      <c r="M20" s="13" t="s">
        <v>48</v>
      </c>
      <c r="N20" s="13" t="s">
        <v>81</v>
      </c>
      <c r="O20" s="14" t="s">
        <v>78</v>
      </c>
    </row>
    <row r="21" spans="1:15" x14ac:dyDescent="0.25">
      <c r="B21" s="13" t="s">
        <v>39</v>
      </c>
      <c r="C21" s="7">
        <v>1985</v>
      </c>
      <c r="D21" s="7">
        <v>0</v>
      </c>
      <c r="H21" s="13" t="s">
        <v>44</v>
      </c>
      <c r="I21" s="7">
        <v>8</v>
      </c>
      <c r="K21" s="6"/>
      <c r="L21" s="6"/>
      <c r="M21" s="13" t="s">
        <v>50</v>
      </c>
      <c r="N21" s="7">
        <v>2500</v>
      </c>
      <c r="O21" s="21">
        <v>0</v>
      </c>
    </row>
    <row r="22" spans="1:15" ht="15" customHeight="1" x14ac:dyDescent="0.25">
      <c r="B22" s="13" t="s">
        <v>40</v>
      </c>
      <c r="C22" s="7">
        <v>5835</v>
      </c>
      <c r="D22" s="7">
        <v>0</v>
      </c>
      <c r="E22" t="s">
        <v>77</v>
      </c>
      <c r="F22" t="s">
        <v>77</v>
      </c>
      <c r="G22" t="s">
        <v>77</v>
      </c>
      <c r="H22" s="11" t="s">
        <v>46</v>
      </c>
      <c r="I22" s="5">
        <v>17</v>
      </c>
      <c r="J22" s="6" t="s">
        <v>77</v>
      </c>
      <c r="K22" s="6" t="s">
        <v>77</v>
      </c>
      <c r="L22" s="6" t="s">
        <v>77</v>
      </c>
      <c r="M22" s="13" t="s">
        <v>52</v>
      </c>
      <c r="N22" s="7">
        <v>10000</v>
      </c>
      <c r="O22" s="21">
        <v>20</v>
      </c>
    </row>
    <row r="23" spans="1:15" ht="15" customHeight="1" x14ac:dyDescent="0.25">
      <c r="B23" s="13" t="s">
        <v>41</v>
      </c>
      <c r="C23" s="7">
        <v>4000</v>
      </c>
      <c r="D23" s="7">
        <v>0</v>
      </c>
      <c r="I23" s="48" t="s">
        <v>80</v>
      </c>
      <c r="J23" s="48"/>
      <c r="K23" s="6"/>
      <c r="L23" s="6"/>
      <c r="M23" s="13" t="s">
        <v>54</v>
      </c>
      <c r="N23" s="7">
        <v>2000</v>
      </c>
      <c r="O23" s="21">
        <v>0</v>
      </c>
    </row>
    <row r="24" spans="1:15" x14ac:dyDescent="0.25">
      <c r="B24" s="13" t="s">
        <v>42</v>
      </c>
      <c r="C24" s="7">
        <v>2192</v>
      </c>
      <c r="D24" s="7">
        <v>0</v>
      </c>
      <c r="I24" s="48"/>
      <c r="J24" s="48"/>
      <c r="K24" s="6"/>
      <c r="L24" s="6"/>
      <c r="M24" s="13" t="s">
        <v>56</v>
      </c>
      <c r="N24" s="7">
        <v>1800</v>
      </c>
      <c r="O24" s="21">
        <v>0</v>
      </c>
    </row>
    <row r="25" spans="1:15" x14ac:dyDescent="0.25">
      <c r="B25" s="13" t="s">
        <v>75</v>
      </c>
      <c r="C25" s="7">
        <v>0</v>
      </c>
      <c r="D25" s="7">
        <v>9</v>
      </c>
      <c r="I25" s="48"/>
      <c r="J25" s="48"/>
      <c r="K25" s="6"/>
      <c r="L25" s="6"/>
      <c r="M25" s="6"/>
    </row>
    <row r="26" spans="1:15" x14ac:dyDescent="0.25">
      <c r="J26" s="6"/>
      <c r="K26" s="6"/>
      <c r="L26" s="6"/>
      <c r="M26" s="6"/>
    </row>
    <row r="28" spans="1:15" x14ac:dyDescent="0.25">
      <c r="A28" s="17">
        <v>4</v>
      </c>
      <c r="B28" s="13" t="s">
        <v>65</v>
      </c>
      <c r="C28" s="13" t="s">
        <v>78</v>
      </c>
      <c r="D28" s="14" t="s">
        <v>85</v>
      </c>
      <c r="H28" s="14" t="s">
        <v>86</v>
      </c>
      <c r="I28" s="14" t="s">
        <v>87</v>
      </c>
    </row>
    <row r="29" spans="1:15" x14ac:dyDescent="0.25">
      <c r="B29" s="13" t="s">
        <v>84</v>
      </c>
      <c r="C29" s="22">
        <v>30</v>
      </c>
      <c r="D29">
        <v>0</v>
      </c>
      <c r="H29" t="s">
        <v>130</v>
      </c>
      <c r="I29">
        <v>1</v>
      </c>
    </row>
    <row r="30" spans="1:15" x14ac:dyDescent="0.25">
      <c r="B30" s="13" t="s">
        <v>83</v>
      </c>
      <c r="C30" s="22">
        <v>4.2</v>
      </c>
      <c r="D30">
        <v>0</v>
      </c>
      <c r="H30" t="s">
        <v>88</v>
      </c>
      <c r="I30">
        <v>1.03</v>
      </c>
    </row>
    <row r="31" spans="1:15" x14ac:dyDescent="0.25">
      <c r="B31" s="13" t="s">
        <v>71</v>
      </c>
      <c r="C31" s="22">
        <v>0.5</v>
      </c>
      <c r="D31">
        <v>1</v>
      </c>
      <c r="H31" t="s">
        <v>91</v>
      </c>
      <c r="I31">
        <v>1.1499999999999999</v>
      </c>
    </row>
    <row r="32" spans="1:15" x14ac:dyDescent="0.25">
      <c r="B32" s="13" t="s">
        <v>82</v>
      </c>
      <c r="C32" s="22">
        <v>1</v>
      </c>
      <c r="D32">
        <v>0</v>
      </c>
      <c r="H32" t="s">
        <v>89</v>
      </c>
      <c r="I32">
        <v>1.08</v>
      </c>
    </row>
    <row r="33" spans="2:9" x14ac:dyDescent="0.25">
      <c r="B33" s="13" t="s">
        <v>74</v>
      </c>
      <c r="C33" s="22">
        <v>0.9</v>
      </c>
      <c r="D33">
        <v>1</v>
      </c>
      <c r="H33" t="s">
        <v>90</v>
      </c>
      <c r="I33">
        <v>1.04</v>
      </c>
    </row>
  </sheetData>
  <mergeCells count="1">
    <mergeCell ref="I23:J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R37"/>
  <sheetViews>
    <sheetView topLeftCell="A4" workbookViewId="0">
      <selection activeCell="G8" sqref="G8:I10"/>
    </sheetView>
  </sheetViews>
  <sheetFormatPr defaultRowHeight="15" x14ac:dyDescent="0.25"/>
  <cols>
    <col min="2" max="2" width="29.140625" bestFit="1" customWidth="1"/>
    <col min="3" max="3" width="20.28515625" bestFit="1" customWidth="1"/>
    <col min="5" max="5" width="30.42578125" customWidth="1"/>
    <col min="6" max="6" width="33.42578125" customWidth="1"/>
    <col min="7" max="7" width="7" customWidth="1"/>
    <col min="8" max="8" width="15.85546875" bestFit="1" customWidth="1"/>
    <col min="9" max="9" width="34.42578125" bestFit="1" customWidth="1"/>
    <col min="10" max="10" width="16.85546875" customWidth="1"/>
    <col min="11" max="11" width="8.5703125" bestFit="1" customWidth="1"/>
    <col min="12" max="12" width="6.28515625" bestFit="1" customWidth="1"/>
    <col min="13" max="13" width="8" bestFit="1" customWidth="1"/>
    <col min="16" max="16" width="18" bestFit="1" customWidth="1"/>
    <col min="17" max="17" width="57.28515625" customWidth="1"/>
  </cols>
  <sheetData>
    <row r="2" spans="2:18" x14ac:dyDescent="0.25">
      <c r="P2" s="11" t="s">
        <v>58</v>
      </c>
      <c r="Q2" s="11" t="s">
        <v>59</v>
      </c>
      <c r="R2" s="11" t="s">
        <v>38</v>
      </c>
    </row>
    <row r="3" spans="2:18" ht="60" x14ac:dyDescent="0.25">
      <c r="P3" s="15" t="s">
        <v>60</v>
      </c>
      <c r="Q3" s="4" t="s">
        <v>61</v>
      </c>
      <c r="R3" s="9">
        <v>1500</v>
      </c>
    </row>
    <row r="4" spans="2:18" ht="60" x14ac:dyDescent="0.25">
      <c r="P4" s="15" t="s">
        <v>62</v>
      </c>
      <c r="Q4" s="4" t="s">
        <v>63</v>
      </c>
      <c r="R4" s="8" t="s">
        <v>64</v>
      </c>
    </row>
    <row r="6" spans="2:18" ht="30" x14ac:dyDescent="0.25">
      <c r="C6" s="14" t="s">
        <v>1</v>
      </c>
      <c r="E6" s="4"/>
      <c r="F6" s="11" t="s">
        <v>21</v>
      </c>
      <c r="G6" s="4"/>
      <c r="H6" s="4"/>
      <c r="I6" s="4"/>
      <c r="J6" s="4"/>
      <c r="K6" s="4"/>
      <c r="L6" s="4"/>
      <c r="M6" s="4"/>
    </row>
    <row r="7" spans="2:18" x14ac:dyDescent="0.25">
      <c r="B7" s="14" t="s">
        <v>2</v>
      </c>
      <c r="C7" s="14" t="s">
        <v>3</v>
      </c>
      <c r="E7" s="4"/>
      <c r="F7" s="4"/>
      <c r="G7" s="4"/>
      <c r="H7" s="4"/>
      <c r="I7" s="4"/>
      <c r="J7" s="4"/>
      <c r="K7" s="4"/>
      <c r="L7" s="4"/>
      <c r="M7" s="4"/>
      <c r="N7" s="4"/>
      <c r="O7" s="4"/>
    </row>
    <row r="8" spans="2:18" ht="30" x14ac:dyDescent="0.25">
      <c r="B8" s="14" t="s">
        <v>4</v>
      </c>
      <c r="C8" s="2">
        <v>0.6</v>
      </c>
      <c r="E8" s="4"/>
      <c r="F8" s="11" t="s">
        <v>22</v>
      </c>
      <c r="G8" s="11" t="s">
        <v>23</v>
      </c>
      <c r="H8" s="11" t="s">
        <v>15</v>
      </c>
      <c r="I8" s="11" t="s">
        <v>16</v>
      </c>
      <c r="J8" s="11" t="s">
        <v>17</v>
      </c>
      <c r="K8" s="11" t="s">
        <v>18</v>
      </c>
      <c r="L8" s="11" t="s">
        <v>19</v>
      </c>
      <c r="M8" s="11" t="s">
        <v>20</v>
      </c>
      <c r="N8" s="4"/>
      <c r="O8" s="4"/>
    </row>
    <row r="9" spans="2:18" x14ac:dyDescent="0.25">
      <c r="B9" s="14" t="s">
        <v>5</v>
      </c>
      <c r="C9" s="3">
        <v>1</v>
      </c>
      <c r="E9" s="11" t="s">
        <v>24</v>
      </c>
      <c r="F9" s="4"/>
      <c r="G9" s="4"/>
      <c r="H9" s="4"/>
      <c r="I9" s="4"/>
      <c r="J9" s="4"/>
      <c r="K9" s="4"/>
      <c r="L9" s="4"/>
      <c r="M9" s="4"/>
      <c r="N9" s="4"/>
      <c r="O9" s="4"/>
    </row>
    <row r="10" spans="2:18" x14ac:dyDescent="0.25">
      <c r="B10" s="14" t="s">
        <v>6</v>
      </c>
      <c r="C10" s="3">
        <v>3</v>
      </c>
      <c r="E10" s="11" t="s">
        <v>25</v>
      </c>
      <c r="F10" s="5">
        <v>30000</v>
      </c>
      <c r="G10" s="4" t="s">
        <v>26</v>
      </c>
      <c r="H10" s="4" t="s">
        <v>26</v>
      </c>
      <c r="I10" s="4">
        <v>0</v>
      </c>
      <c r="J10" s="4" t="s">
        <v>26</v>
      </c>
      <c r="K10" s="4">
        <v>0</v>
      </c>
      <c r="L10" s="4">
        <v>0</v>
      </c>
      <c r="M10" s="4" t="s">
        <v>26</v>
      </c>
      <c r="N10" s="4"/>
      <c r="O10" s="4"/>
    </row>
    <row r="11" spans="2:18" x14ac:dyDescent="0.25">
      <c r="B11" s="14" t="s">
        <v>7</v>
      </c>
      <c r="C11" s="3">
        <v>15</v>
      </c>
      <c r="E11" s="11" t="s">
        <v>27</v>
      </c>
      <c r="F11" s="5">
        <v>8000</v>
      </c>
      <c r="G11" s="4" t="s">
        <v>28</v>
      </c>
      <c r="H11" s="4" t="s">
        <v>26</v>
      </c>
      <c r="I11" s="4" t="s">
        <v>26</v>
      </c>
      <c r="J11" s="4" t="s">
        <v>26</v>
      </c>
      <c r="K11" s="4">
        <v>0</v>
      </c>
      <c r="L11" s="4">
        <v>0</v>
      </c>
      <c r="M11" s="4">
        <v>0</v>
      </c>
      <c r="N11" s="4"/>
      <c r="O11" s="4"/>
    </row>
    <row r="12" spans="2:18" x14ac:dyDescent="0.25">
      <c r="B12" s="14" t="s">
        <v>8</v>
      </c>
      <c r="C12" s="3">
        <v>25</v>
      </c>
      <c r="E12" s="11" t="s">
        <v>29</v>
      </c>
      <c r="F12" s="5">
        <v>25000</v>
      </c>
      <c r="G12" s="4" t="s">
        <v>28</v>
      </c>
      <c r="H12" s="4" t="s">
        <v>26</v>
      </c>
      <c r="I12" s="4" t="s">
        <v>26</v>
      </c>
      <c r="J12" s="4">
        <v>0</v>
      </c>
      <c r="K12" s="4" t="s">
        <v>26</v>
      </c>
      <c r="L12" s="4" t="s">
        <v>26</v>
      </c>
      <c r="M12" s="4" t="s">
        <v>26</v>
      </c>
      <c r="N12" s="4"/>
      <c r="O12" s="4"/>
    </row>
    <row r="13" spans="2:18" x14ac:dyDescent="0.25">
      <c r="B13" s="14"/>
      <c r="E13" s="11" t="s">
        <v>30</v>
      </c>
      <c r="F13" s="5">
        <v>4000</v>
      </c>
      <c r="G13" s="4" t="s">
        <v>28</v>
      </c>
      <c r="H13" s="4" t="s">
        <v>26</v>
      </c>
      <c r="I13" s="4" t="s">
        <v>26</v>
      </c>
      <c r="J13" s="4" t="s">
        <v>26</v>
      </c>
      <c r="K13" s="4" t="s">
        <v>26</v>
      </c>
      <c r="L13" s="4" t="s">
        <v>26</v>
      </c>
      <c r="M13" s="4" t="s">
        <v>26</v>
      </c>
      <c r="N13" s="4"/>
      <c r="O13" s="4"/>
    </row>
    <row r="14" spans="2:18" x14ac:dyDescent="0.25">
      <c r="B14" s="14" t="s">
        <v>9</v>
      </c>
      <c r="C14" t="s">
        <v>3</v>
      </c>
      <c r="E14" s="11" t="s">
        <v>31</v>
      </c>
      <c r="F14" s="5">
        <v>10000</v>
      </c>
      <c r="G14" s="4" t="s">
        <v>28</v>
      </c>
      <c r="H14" s="4" t="s">
        <v>26</v>
      </c>
      <c r="I14" s="4" t="s">
        <v>28</v>
      </c>
      <c r="J14" s="4" t="s">
        <v>28</v>
      </c>
      <c r="K14" s="4" t="s">
        <v>28</v>
      </c>
      <c r="L14" s="4">
        <v>0</v>
      </c>
      <c r="M14" s="4" t="s">
        <v>28</v>
      </c>
      <c r="N14" s="4"/>
      <c r="O14" s="4"/>
    </row>
    <row r="15" spans="2:18" x14ac:dyDescent="0.25">
      <c r="B15" s="14" t="s">
        <v>10</v>
      </c>
      <c r="C15" s="3">
        <v>5</v>
      </c>
      <c r="E15" s="11"/>
      <c r="F15" s="4"/>
      <c r="G15" s="4"/>
      <c r="H15" s="4"/>
      <c r="I15" s="4"/>
      <c r="J15" s="4"/>
      <c r="K15" s="4"/>
      <c r="L15" s="4"/>
      <c r="M15" s="4"/>
      <c r="N15" s="4"/>
      <c r="O15" s="4"/>
    </row>
    <row r="16" spans="2:18" x14ac:dyDescent="0.25">
      <c r="B16" s="14" t="s">
        <v>11</v>
      </c>
      <c r="C16" s="3">
        <v>15</v>
      </c>
      <c r="E16" s="11" t="s">
        <v>32</v>
      </c>
      <c r="F16" s="12" t="s">
        <v>3</v>
      </c>
      <c r="G16" s="12"/>
      <c r="H16" s="13" t="s">
        <v>48</v>
      </c>
      <c r="I16" s="13" t="s">
        <v>49</v>
      </c>
      <c r="J16" s="4"/>
      <c r="K16" s="4"/>
      <c r="L16" s="4"/>
      <c r="M16" s="4"/>
      <c r="N16" s="4"/>
      <c r="O16" s="4"/>
    </row>
    <row r="17" spans="2:16" x14ac:dyDescent="0.25">
      <c r="B17" s="14" t="s">
        <v>12</v>
      </c>
      <c r="C17" s="3">
        <v>25</v>
      </c>
      <c r="E17" s="11" t="s">
        <v>33</v>
      </c>
      <c r="F17" s="5">
        <v>4356</v>
      </c>
      <c r="G17" s="4"/>
      <c r="H17" s="13" t="s">
        <v>50</v>
      </c>
      <c r="I17" s="6" t="s">
        <v>51</v>
      </c>
      <c r="J17" s="4"/>
      <c r="K17" s="4"/>
      <c r="L17" s="4"/>
      <c r="M17" s="4"/>
      <c r="N17" s="4"/>
      <c r="O17" s="4"/>
    </row>
    <row r="18" spans="2:16" x14ac:dyDescent="0.25">
      <c r="B18" s="14"/>
      <c r="E18" s="11" t="s">
        <v>34</v>
      </c>
      <c r="F18" s="5">
        <v>6121</v>
      </c>
      <c r="G18" s="4"/>
      <c r="H18" s="13" t="s">
        <v>52</v>
      </c>
      <c r="I18" s="6" t="s">
        <v>53</v>
      </c>
      <c r="J18" s="4"/>
      <c r="K18" s="4"/>
      <c r="L18" s="4"/>
      <c r="M18" s="4"/>
      <c r="N18" s="4"/>
      <c r="O18" s="4"/>
    </row>
    <row r="19" spans="2:16" ht="30" x14ac:dyDescent="0.25">
      <c r="B19" s="14" t="s">
        <v>13</v>
      </c>
      <c r="C19" t="s">
        <v>3</v>
      </c>
      <c r="E19" s="11" t="s">
        <v>35</v>
      </c>
      <c r="F19" s="4" t="s">
        <v>36</v>
      </c>
      <c r="G19" s="4"/>
      <c r="H19" s="13" t="s">
        <v>54</v>
      </c>
      <c r="I19" s="6" t="s">
        <v>55</v>
      </c>
      <c r="J19" s="4"/>
      <c r="K19" s="4"/>
      <c r="L19" s="4"/>
      <c r="M19" s="4"/>
      <c r="N19" s="4"/>
      <c r="O19" s="4"/>
    </row>
    <row r="20" spans="2:16" x14ac:dyDescent="0.25">
      <c r="B20" s="14" t="s">
        <v>14</v>
      </c>
      <c r="C20" s="2">
        <v>1.5</v>
      </c>
      <c r="E20" s="4"/>
      <c r="F20" s="4"/>
      <c r="G20" s="4"/>
      <c r="H20" s="13" t="s">
        <v>56</v>
      </c>
      <c r="I20" s="6" t="s">
        <v>57</v>
      </c>
      <c r="J20" s="4"/>
      <c r="K20" s="4"/>
      <c r="L20" s="4"/>
      <c r="M20" s="4"/>
      <c r="N20" s="4"/>
      <c r="O20" s="4"/>
    </row>
    <row r="21" spans="2:16" ht="30" x14ac:dyDescent="0.25">
      <c r="B21" s="14" t="s">
        <v>15</v>
      </c>
      <c r="C21" s="2">
        <v>1</v>
      </c>
      <c r="E21" s="11" t="s">
        <v>37</v>
      </c>
      <c r="F21" s="11" t="s">
        <v>38</v>
      </c>
      <c r="G21" s="4"/>
      <c r="H21" s="4"/>
      <c r="I21" s="4"/>
      <c r="J21" s="4"/>
      <c r="K21" s="4"/>
      <c r="L21" s="4"/>
      <c r="M21" s="4"/>
      <c r="N21" s="4"/>
      <c r="O21" s="4"/>
    </row>
    <row r="22" spans="2:16" ht="30" x14ac:dyDescent="0.25">
      <c r="B22" s="14" t="s">
        <v>16</v>
      </c>
      <c r="C22" s="2">
        <v>0.2</v>
      </c>
      <c r="E22" s="11" t="s">
        <v>39</v>
      </c>
      <c r="F22" s="5">
        <v>1985</v>
      </c>
      <c r="G22" s="4"/>
      <c r="H22" s="11" t="s">
        <v>65</v>
      </c>
      <c r="I22" s="11" t="s">
        <v>59</v>
      </c>
      <c r="J22" s="11" t="s">
        <v>66</v>
      </c>
      <c r="K22" s="4"/>
      <c r="L22" s="4"/>
      <c r="M22" s="4"/>
      <c r="N22" s="4"/>
      <c r="O22" s="4"/>
    </row>
    <row r="23" spans="2:16" x14ac:dyDescent="0.25">
      <c r="B23" s="14" t="s">
        <v>17</v>
      </c>
      <c r="C23" s="2">
        <v>0.8</v>
      </c>
      <c r="E23" s="11" t="s">
        <v>40</v>
      </c>
      <c r="F23" s="5">
        <v>5835</v>
      </c>
      <c r="G23" s="4"/>
      <c r="H23" s="11" t="s">
        <v>67</v>
      </c>
      <c r="I23" s="4" t="s">
        <v>68</v>
      </c>
      <c r="J23" s="10">
        <v>30</v>
      </c>
      <c r="K23" s="4"/>
      <c r="L23" s="4"/>
      <c r="M23" s="4"/>
      <c r="N23" s="4"/>
      <c r="O23" s="4"/>
    </row>
    <row r="24" spans="2:16" x14ac:dyDescent="0.25">
      <c r="B24" s="14" t="s">
        <v>18</v>
      </c>
      <c r="C24" s="2">
        <v>1.3</v>
      </c>
      <c r="E24" s="11" t="s">
        <v>41</v>
      </c>
      <c r="F24" s="5">
        <v>4000</v>
      </c>
      <c r="G24" s="4"/>
      <c r="H24" s="11" t="s">
        <v>69</v>
      </c>
      <c r="I24" s="4" t="s">
        <v>70</v>
      </c>
      <c r="J24" s="10">
        <v>4.2</v>
      </c>
      <c r="K24" s="4"/>
      <c r="L24" s="4"/>
      <c r="M24" s="4"/>
      <c r="N24" s="4"/>
      <c r="O24" s="4"/>
      <c r="P24" s="6"/>
    </row>
    <row r="25" spans="2:16" ht="30" x14ac:dyDescent="0.25">
      <c r="B25" s="14" t="s">
        <v>19</v>
      </c>
      <c r="C25" s="2">
        <v>1.4</v>
      </c>
      <c r="E25" s="11" t="s">
        <v>42</v>
      </c>
      <c r="F25" s="5">
        <v>2192</v>
      </c>
      <c r="G25" s="4"/>
      <c r="H25" s="11" t="s">
        <v>71</v>
      </c>
      <c r="I25" s="4" t="s">
        <v>72</v>
      </c>
      <c r="J25" s="10">
        <v>0.5</v>
      </c>
      <c r="K25" s="4"/>
      <c r="L25" s="4"/>
      <c r="M25" s="4"/>
      <c r="N25" s="4"/>
      <c r="O25" s="4"/>
    </row>
    <row r="26" spans="2:16" x14ac:dyDescent="0.25">
      <c r="B26" s="14" t="s">
        <v>20</v>
      </c>
      <c r="C26" s="2">
        <v>1.6</v>
      </c>
      <c r="E26" s="11" t="s">
        <v>75</v>
      </c>
      <c r="F26" s="4" t="s">
        <v>76</v>
      </c>
      <c r="G26" s="4"/>
      <c r="H26" s="11" t="s">
        <v>73</v>
      </c>
      <c r="I26" s="4"/>
      <c r="J26" s="10">
        <v>1</v>
      </c>
      <c r="K26" s="4"/>
      <c r="L26" s="4"/>
      <c r="M26" s="4"/>
      <c r="N26" s="4"/>
      <c r="O26" s="4"/>
    </row>
    <row r="27" spans="2:16" x14ac:dyDescent="0.25">
      <c r="G27" s="4"/>
      <c r="H27" s="11" t="s">
        <v>74</v>
      </c>
      <c r="I27" s="4"/>
      <c r="J27" s="10">
        <v>0.9</v>
      </c>
      <c r="K27" s="4"/>
      <c r="L27" s="4"/>
      <c r="M27" s="4"/>
      <c r="N27" s="4"/>
      <c r="O27" s="4"/>
    </row>
    <row r="28" spans="2:16" x14ac:dyDescent="0.25">
      <c r="G28" s="4"/>
      <c r="H28" s="4"/>
      <c r="I28" s="4"/>
      <c r="J28" s="4"/>
      <c r="K28" s="4"/>
      <c r="L28" s="4"/>
      <c r="M28" s="4"/>
      <c r="N28" s="4"/>
      <c r="O28" s="4"/>
    </row>
    <row r="29" spans="2:16" x14ac:dyDescent="0.25">
      <c r="G29" s="4"/>
      <c r="H29" s="4"/>
      <c r="I29" s="4"/>
      <c r="J29" s="4"/>
      <c r="K29" s="4"/>
      <c r="L29" s="4"/>
      <c r="M29" s="4"/>
      <c r="N29" s="4"/>
      <c r="O29" s="4"/>
    </row>
    <row r="30" spans="2:16" x14ac:dyDescent="0.25">
      <c r="E30" s="11" t="s">
        <v>43</v>
      </c>
      <c r="F30" s="11" t="s">
        <v>3</v>
      </c>
      <c r="G30" s="4"/>
      <c r="H30" s="4"/>
      <c r="I30" s="4"/>
      <c r="J30" s="4"/>
      <c r="K30" s="4"/>
      <c r="L30" s="4"/>
      <c r="M30" s="4"/>
      <c r="N30" s="4"/>
      <c r="O30" s="4"/>
    </row>
    <row r="31" spans="2:16" ht="30" x14ac:dyDescent="0.25">
      <c r="E31" s="11" t="s">
        <v>44</v>
      </c>
      <c r="F31" s="4" t="s">
        <v>45</v>
      </c>
      <c r="G31" s="4"/>
      <c r="H31" s="4"/>
      <c r="I31" s="4"/>
      <c r="J31" s="4"/>
      <c r="K31" s="4"/>
      <c r="L31" s="4"/>
      <c r="M31" s="4"/>
      <c r="N31" s="4"/>
      <c r="O31" s="4"/>
    </row>
    <row r="32" spans="2:16" ht="45" x14ac:dyDescent="0.25">
      <c r="E32" s="11" t="s">
        <v>46</v>
      </c>
      <c r="F32" s="4" t="s">
        <v>47</v>
      </c>
      <c r="G32" s="4"/>
      <c r="H32" s="4"/>
      <c r="I32" s="4"/>
      <c r="J32" s="4"/>
      <c r="K32" s="4"/>
      <c r="L32" s="4"/>
      <c r="M32" s="4"/>
      <c r="N32" s="4"/>
      <c r="O32" s="4"/>
    </row>
    <row r="33" spans="5:15" x14ac:dyDescent="0.25">
      <c r="E33" s="6"/>
      <c r="F33" s="6"/>
      <c r="G33" s="4"/>
      <c r="H33" s="4"/>
      <c r="I33" s="4"/>
      <c r="J33" s="4"/>
      <c r="K33" s="4"/>
      <c r="L33" s="4"/>
      <c r="M33" s="4"/>
      <c r="N33" s="4"/>
      <c r="O33" s="4"/>
    </row>
    <row r="34" spans="5:15" x14ac:dyDescent="0.25">
      <c r="E34" s="6"/>
      <c r="F34" s="6"/>
      <c r="G34" s="4"/>
      <c r="H34" s="4"/>
      <c r="I34" s="4"/>
      <c r="J34" s="4"/>
      <c r="K34" s="4"/>
      <c r="L34" s="4"/>
      <c r="M34" s="4"/>
      <c r="N34" s="4"/>
      <c r="O34" s="4"/>
    </row>
    <row r="35" spans="5:15" x14ac:dyDescent="0.25">
      <c r="E35" s="6"/>
      <c r="F35" s="6"/>
      <c r="G35" s="4"/>
      <c r="H35" s="4"/>
      <c r="I35" s="4"/>
      <c r="J35" s="4"/>
      <c r="K35" s="4"/>
      <c r="L35" s="4"/>
      <c r="M35" s="4"/>
      <c r="N35" s="4"/>
      <c r="O35" s="4"/>
    </row>
    <row r="36" spans="5:15" x14ac:dyDescent="0.25">
      <c r="N36" s="4"/>
      <c r="O36" s="4"/>
    </row>
    <row r="37" spans="5:15" x14ac:dyDescent="0.25">
      <c r="E37" s="4"/>
      <c r="F37" s="4"/>
      <c r="G37" s="4"/>
      <c r="H37" s="4"/>
      <c r="I37" s="4"/>
      <c r="J37" s="4"/>
      <c r="K37" s="4"/>
      <c r="L37" s="4"/>
      <c r="M37" s="4"/>
      <c r="N37" s="4"/>
      <c r="O37" s="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35</vt:i4>
      </vt:variant>
    </vt:vector>
  </HeadingPairs>
  <TitlesOfParts>
    <vt:vector size="39" baseType="lpstr">
      <vt:lpstr>Model</vt:lpstr>
      <vt:lpstr>Links and calculations</vt:lpstr>
      <vt:lpstr>DecisionFlow</vt:lpstr>
      <vt:lpstr>Data and Tables</vt:lpstr>
      <vt:lpstr>Barrel</vt:lpstr>
      <vt:lpstr>Barrel_list</vt:lpstr>
      <vt:lpstr>Bloomington</vt:lpstr>
      <vt:lpstr>Both</vt:lpstr>
      <vt:lpstr>East</vt:lpstr>
      <vt:lpstr>Electricity</vt:lpstr>
      <vt:lpstr>Flat</vt:lpstr>
      <vt:lpstr>Flat_list</vt:lpstr>
      <vt:lpstr>Foundations</vt:lpstr>
      <vt:lpstr>DecisionFlow!Gable__A_frame</vt:lpstr>
      <vt:lpstr>Gable__A_frame__list</vt:lpstr>
      <vt:lpstr>Gable_list</vt:lpstr>
      <vt:lpstr>Gambrel</vt:lpstr>
      <vt:lpstr>Gambrel_list</vt:lpstr>
      <vt:lpstr>Heat</vt:lpstr>
      <vt:lpstr>Hip</vt:lpstr>
      <vt:lpstr>Hip_list</vt:lpstr>
      <vt:lpstr>Insulation_Options</vt:lpstr>
      <vt:lpstr>Labor</vt:lpstr>
      <vt:lpstr>Location</vt:lpstr>
      <vt:lpstr>Multiplier</vt:lpstr>
      <vt:lpstr>North</vt:lpstr>
      <vt:lpstr>NotSP</vt:lpstr>
      <vt:lpstr>Roof_design</vt:lpstr>
      <vt:lpstr>Shed</vt:lpstr>
      <vt:lpstr>Shed_list</vt:lpstr>
      <vt:lpstr>SolarPanels</vt:lpstr>
      <vt:lpstr>South</vt:lpstr>
      <vt:lpstr>Standard</vt:lpstr>
      <vt:lpstr>Vaulted</vt:lpstr>
      <vt:lpstr>Vaulted_list</vt:lpstr>
      <vt:lpstr>Walls</vt:lpstr>
      <vt:lpstr>Water</vt:lpstr>
      <vt:lpstr>WaterGWS</vt:lpstr>
      <vt:lpstr>West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Serex</dc:creator>
  <dc:description>X202 Take Home Exam Spring 2013</dc:description>
  <cp:lastModifiedBy>IU Student</cp:lastModifiedBy>
  <cp:lastPrinted>2013-02-24T20:08:41Z</cp:lastPrinted>
  <dcterms:created xsi:type="dcterms:W3CDTF">2011-10-14T21:31:33Z</dcterms:created>
  <dcterms:modified xsi:type="dcterms:W3CDTF">2013-10-28T22:52:50Z</dcterms:modified>
</cp:coreProperties>
</file>